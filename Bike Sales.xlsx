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hidePivotFieldList="1" defaultThemeVersion="166925"/>
  <mc:AlternateContent xmlns:mc="http://schemas.openxmlformats.org/markup-compatibility/2006">
    <mc:Choice Requires="x15">
      <x15ac:absPath xmlns:x15ac="http://schemas.microsoft.com/office/spreadsheetml/2010/11/ac" url="/Users/christiejackson/Downloads/"/>
    </mc:Choice>
  </mc:AlternateContent>
  <xr:revisionPtr revIDLastSave="0" documentId="13_ncr:1_{7531E5A0-E0C2-6D49-82E9-44F69AEC042D}" xr6:coauthVersionLast="47" xr6:coauthVersionMax="47" xr10:uidLastSave="{00000000-0000-0000-0000-000000000000}"/>
  <bookViews>
    <workbookView xWindow="0" yWindow="500" windowWidth="27320" windowHeight="1344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<sst xmlns="http://schemas.openxmlformats.org/spreadsheetml/2006/main" count="16274" uniqueCount="51">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</sst>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2" fontId="0" fillId="0" borderId="0" xfId="0" applyNumberFormat="1"/>
    <xf numFmtId="0" fontId="0" fillId="33" borderId="0" xfId="0" applyFill="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Avg</a:t>
            </a:r>
            <a:r>
              <a:rPr lang="en-US" baseline="0"/>
              <a:t> Income Per Purchase</a:t>
            </a:r>
          </a:p>
        </c:rich>
      </c:tx>
      <c:layout>
        <c:manualLayout>
          <c:xMode val="edge"/>
          <c:yMode val="edge"/>
          <c:x val="0.35846250925951328"/>
          <c:y val="4.244278675691854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99454031660676"/>
          <c:y val="0.14991506389570156"/>
          <c:w val="0.73529308836395446"/>
          <c:h val="0.62271952847999268"/>
        </c:manualLayout>
      </c:layout>
      <c:barChart>
        <c:barDir val="col"/>
        <c:grouping val="clustered"/>
        <c:varyColors val="0"/>
        <c:ser>
          <c:idx val="0"/>
          <c:order val="0"/>
          <c:tx>
            <c:strRef>
              <c:f>'Pivot Table'!$C$3:$C$4</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Table'!$B$5:$B$7</c:f>
              <c:strCache>
                <c:ptCount val="2"/>
                <c:pt idx="0">
                  <c:v>Female</c:v>
                </c:pt>
                <c:pt idx="1">
                  <c:v>Male</c:v>
                </c:pt>
              </c:strCache>
            </c:strRef>
          </c:cat>
          <c:val>
            <c:numRef>
              <c:f>'Pivot Table'!$C$5:$C$7</c:f>
              <c:numCache>
                <c:formatCode>_(* #,##0_);_(* \(#,##0\);_(* "-"??_);_(@_)</c:formatCode>
                <c:ptCount val="2"/>
                <c:pt idx="0">
                  <c:v>53440</c:v>
                </c:pt>
                <c:pt idx="1">
                  <c:v>56208.178438661707</c:v>
                </c:pt>
              </c:numCache>
            </c:numRef>
          </c:val>
          <c:extLst>
            <c:ext xmlns:c16="http://schemas.microsoft.com/office/drawing/2014/chart" uri="{C3380CC4-5D6E-409C-BE32-E72D297353CC}">
              <c16:uniqueId val="{00000000-8D2A-3A47-BBB5-78A59A926AA5}"/>
            </c:ext>
          </c:extLst>
        </c:ser>
        <c:ser>
          <c:idx val="1"/>
          <c:order val="1"/>
          <c:tx>
            <c:strRef>
              <c:f>'Pivot Table'!$D$3:$D$4</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Table'!$B$5:$B$7</c:f>
              <c:strCache>
                <c:ptCount val="2"/>
                <c:pt idx="0">
                  <c:v>Female</c:v>
                </c:pt>
                <c:pt idx="1">
                  <c:v>Male</c:v>
                </c:pt>
              </c:strCache>
            </c:strRef>
          </c:cat>
          <c:val>
            <c:numRef>
              <c:f>'Pivot Table'!$D$5:$D$7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D2A-3A47-BBB5-78A59A926AA5}"/>
            </c:ext>
          </c:extLst>
        </c:ser>
        <c:dLbls>
          <c:showLegendKey val="0"/>
          <c:showVal val="0"/>
          <c:showCatName val="0"/>
          <c:showSerName val="0"/>
          <c:showPercent val="0"/>
          <c:showBubbleSize val="0"/>
        </c:dLbls>
        <c:gapWidth val="100"/>
        <c:overlap val="-24"/>
        <c:axId val="332215487"/>
        <c:axId val="299391567"/>
      </c:barChart>
      <c:catAx>
        <c:axId val="3322154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GEnder</a:t>
                </a:r>
              </a:p>
            </c:rich>
          </c:tx>
          <c:layout>
            <c:manualLayout>
              <c:xMode val="edge"/>
              <c:yMode val="edge"/>
              <c:x val="0.49222694724135085"/>
              <c:y val="0.8444904913201639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9391567"/>
        <c:crosses val="autoZero"/>
        <c:auto val="1"/>
        <c:lblAlgn val="ctr"/>
        <c:lblOffset val="100"/>
        <c:noMultiLvlLbl val="0"/>
      </c:catAx>
      <c:valAx>
        <c:axId val="299391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r>
                  <a:rPr lang="en-US" b="1"/>
                  <a:t>income</a:t>
                </a:r>
              </a:p>
              <a:p>
                <a:pPr>
                  <a:defRPr b="1"/>
                </a:pPr>
                <a:endParaRPr lang="en-US" b="1"/>
              </a:p>
            </c:rich>
          </c:tx>
          <c:layout>
            <c:manualLayout>
              <c:xMode val="edge"/>
              <c:yMode val="edge"/>
              <c:x val="3.1868355165281761E-2"/>
              <c:y val="0.3396592596743912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221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722991379633"/>
          <c:y val="9.556776556776557E-2"/>
          <c:w val="0.77398318265772337"/>
          <c:h val="0.69150817686250754"/>
        </c:manualLayout>
      </c:layout>
      <c:lineChart>
        <c:grouping val="standard"/>
        <c:varyColors val="0"/>
        <c:ser>
          <c:idx val="0"/>
          <c:order val="0"/>
          <c:tx>
            <c:strRef>
              <c:f>'Pivot Table'!$C$29:$C$30</c:f>
              <c:strCache>
                <c:ptCount val="1"/>
                <c:pt idx="0">
                  <c:v>No</c:v>
                </c:pt>
              </c:strCache>
            </c:strRef>
          </c:tx>
          <c:spPr>
            <a:ln w="28575" cap="rnd">
              <a:solidFill>
                <a:schemeClr val="accent1"/>
              </a:solidFill>
              <a:round/>
            </a:ln>
            <a:effectLst/>
          </c:spPr>
          <c:marker>
            <c:symbol val="none"/>
          </c:marker>
          <c:cat>
            <c:strRef>
              <c:f>'Pivot Table'!$B$31:$B$36</c:f>
              <c:strCache>
                <c:ptCount val="5"/>
                <c:pt idx="0">
                  <c:v>0-1 Miles</c:v>
                </c:pt>
                <c:pt idx="1">
                  <c:v>1-2 Miles</c:v>
                </c:pt>
                <c:pt idx="2">
                  <c:v>2-5 Miles</c:v>
                </c:pt>
                <c:pt idx="3">
                  <c:v>5-10 Miles</c:v>
                </c:pt>
                <c:pt idx="4">
                  <c:v>More than 10 Miles</c:v>
                </c:pt>
              </c:strCache>
            </c:strRef>
          </c:cat>
          <c:val>
            <c:numRef>
              <c:f>'Pivot Table'!$C$31:$C$36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3E-CE41-87EA-A281D571FCA9}"/>
            </c:ext>
          </c:extLst>
        </c:ser>
        <c:ser>
          <c:idx val="1"/>
          <c:order val="1"/>
          <c:tx>
            <c:strRef>
              <c:f>'Pivot Table'!$D$29:$D$30</c:f>
              <c:strCache>
                <c:ptCount val="1"/>
                <c:pt idx="0">
                  <c:v>Yes</c:v>
                </c:pt>
              </c:strCache>
            </c:strRef>
          </c:tx>
          <c:spPr>
            <a:ln w="28575" cap="rnd">
              <a:solidFill>
                <a:schemeClr val="accent2"/>
              </a:solidFill>
              <a:round/>
            </a:ln>
            <a:effectLst/>
          </c:spPr>
          <c:marker>
            <c:symbol val="none"/>
          </c:marker>
          <c:cat>
            <c:strRef>
              <c:f>'Pivot Table'!$B$31:$B$36</c:f>
              <c:strCache>
                <c:ptCount val="5"/>
                <c:pt idx="0">
                  <c:v>0-1 Miles</c:v>
                </c:pt>
                <c:pt idx="1">
                  <c:v>1-2 Miles</c:v>
                </c:pt>
                <c:pt idx="2">
                  <c:v>2-5 Miles</c:v>
                </c:pt>
                <c:pt idx="3">
                  <c:v>5-10 Miles</c:v>
                </c:pt>
                <c:pt idx="4">
                  <c:v>More than 10 Miles</c:v>
                </c:pt>
              </c:strCache>
            </c:strRef>
          </c:cat>
          <c:val>
            <c:numRef>
              <c:f>'Pivot Table'!$D$31:$D$36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3E-CE41-87EA-A281D571FCA9}"/>
            </c:ext>
          </c:extLst>
        </c:ser>
        <c:dLbls>
          <c:showLegendKey val="0"/>
          <c:showVal val="0"/>
          <c:showCatName val="0"/>
          <c:showSerName val="0"/>
          <c:showPercent val="0"/>
          <c:showBubbleSize val="0"/>
        </c:dLbls>
        <c:smooth val="0"/>
        <c:axId val="332369023"/>
        <c:axId val="418841295"/>
      </c:lineChart>
      <c:catAx>
        <c:axId val="332369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Commute</a:t>
                </a:r>
                <a:r>
                  <a:rPr lang="en-US" sz="1100" b="1" baseline="0"/>
                  <a:t> Distance</a:t>
                </a:r>
                <a:endParaRPr lang="en-US" sz="11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841295"/>
        <c:crosses val="autoZero"/>
        <c:auto val="1"/>
        <c:lblAlgn val="ctr"/>
        <c:lblOffset val="150"/>
        <c:tickLblSkip val="1"/>
        <c:noMultiLvlLbl val="0"/>
      </c:catAx>
      <c:valAx>
        <c:axId val="4188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Count</a:t>
                </a:r>
                <a:r>
                  <a:rPr lang="en-US" sz="1100" baseline="0"/>
                  <a:t> of Purchasd Bike</a:t>
                </a:r>
                <a:endParaRPr lang="en-US" sz="1100"/>
              </a:p>
            </c:rich>
          </c:tx>
          <c:layout>
            <c:manualLayout>
              <c:xMode val="edge"/>
              <c:yMode val="edge"/>
              <c:x val="0"/>
              <c:y val="0.28457269764356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36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14806769843426"/>
          <c:y val="0.17411016949152544"/>
          <c:w val="0.74693072333349642"/>
          <c:h val="0.65468937675163486"/>
        </c:manualLayout>
      </c:layout>
      <c:lineChart>
        <c:grouping val="stacked"/>
        <c:varyColors val="0"/>
        <c:ser>
          <c:idx val="0"/>
          <c:order val="0"/>
          <c:tx>
            <c:strRef>
              <c:f>'Pivot Table'!$C$63:$C$64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Table'!$B$65:$B$68</c:f>
              <c:strCache>
                <c:ptCount val="3"/>
                <c:pt idx="0">
                  <c:v>Adolescent</c:v>
                </c:pt>
                <c:pt idx="1">
                  <c:v>Middle Age</c:v>
                </c:pt>
                <c:pt idx="2">
                  <c:v>Old</c:v>
                </c:pt>
              </c:strCache>
            </c:strRef>
          </c:cat>
          <c:val>
            <c:numRef>
              <c:f>'Pivot Table'!$C$65:$C$68</c:f>
              <c:numCache>
                <c:formatCode>General</c:formatCode>
                <c:ptCount val="3"/>
                <c:pt idx="0">
                  <c:v>52</c:v>
                </c:pt>
                <c:pt idx="1">
                  <c:v>337</c:v>
                </c:pt>
                <c:pt idx="2">
                  <c:v>130</c:v>
                </c:pt>
              </c:numCache>
            </c:numRef>
          </c:val>
          <c:smooth val="0"/>
          <c:extLst>
            <c:ext xmlns:c16="http://schemas.microsoft.com/office/drawing/2014/chart" uri="{C3380CC4-5D6E-409C-BE32-E72D297353CC}">
              <c16:uniqueId val="{00000000-B64A-9940-9473-343A6209DD02}"/>
            </c:ext>
          </c:extLst>
        </c:ser>
        <c:ser>
          <c:idx val="1"/>
          <c:order val="1"/>
          <c:tx>
            <c:strRef>
              <c:f>'Pivot Table'!$D$63:$D$64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Table'!$B$65:$B$68</c:f>
              <c:strCache>
                <c:ptCount val="3"/>
                <c:pt idx="0">
                  <c:v>Adolescent</c:v>
                </c:pt>
                <c:pt idx="1">
                  <c:v>Middle Age</c:v>
                </c:pt>
                <c:pt idx="2">
                  <c:v>Old</c:v>
                </c:pt>
              </c:strCache>
            </c:strRef>
          </c:cat>
          <c:val>
            <c:numRef>
              <c:f>'Pivot Table'!$D$65:$D$68</c:f>
              <c:numCache>
                <c:formatCode>General</c:formatCode>
                <c:ptCount val="3"/>
                <c:pt idx="0">
                  <c:v>43</c:v>
                </c:pt>
                <c:pt idx="1">
                  <c:v>379</c:v>
                </c:pt>
                <c:pt idx="2">
                  <c:v>59</c:v>
                </c:pt>
              </c:numCache>
            </c:numRef>
          </c:val>
          <c:smooth val="0"/>
          <c:extLst>
            <c:ext xmlns:c16="http://schemas.microsoft.com/office/drawing/2014/chart" uri="{C3380CC4-5D6E-409C-BE32-E72D297353CC}">
              <c16:uniqueId val="{00000001-B64A-9940-9473-343A6209DD02}"/>
            </c:ext>
          </c:extLst>
        </c:ser>
        <c:dLbls>
          <c:showLegendKey val="0"/>
          <c:showVal val="0"/>
          <c:showCatName val="0"/>
          <c:showSerName val="0"/>
          <c:showPercent val="0"/>
          <c:showBubbleSize val="0"/>
        </c:dLbls>
        <c:marker val="1"/>
        <c:smooth val="0"/>
        <c:axId val="434152671"/>
        <c:axId val="418573903"/>
      </c:lineChart>
      <c:catAx>
        <c:axId val="434152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4744749341202084"/>
              <c:y val="0.931334578940344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73903"/>
        <c:crosses val="autoZero"/>
        <c:auto val="1"/>
        <c:lblAlgn val="ctr"/>
        <c:lblOffset val="100"/>
        <c:noMultiLvlLbl val="0"/>
      </c:catAx>
      <c:valAx>
        <c:axId val="418573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2.1528525296017221E-3"/>
              <c:y val="0.223414520218870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52671"/>
        <c:crosses val="autoZero"/>
        <c:crossBetween val="between"/>
      </c:valAx>
      <c:spPr>
        <a:noFill/>
        <a:ln>
          <a:noFill/>
        </a:ln>
        <a:effectLst/>
      </c:spPr>
    </c:plotArea>
    <c:legend>
      <c:legendPos val="r"/>
      <c:layout>
        <c:manualLayout>
          <c:xMode val="edge"/>
          <c:yMode val="edge"/>
          <c:x val="0.88524624077162772"/>
          <c:y val="0.49489356732950757"/>
          <c:w val="9.7957677165354334E-2"/>
          <c:h val="0.12277664135399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Avg</a:t>
            </a:r>
            <a:r>
              <a:rPr lang="en-US" baseline="0"/>
              <a:t> Income Per Purchase</a:t>
            </a:r>
          </a:p>
        </c:rich>
      </c:tx>
      <c:layout>
        <c:manualLayout>
          <c:xMode val="edge"/>
          <c:yMode val="edge"/>
          <c:x val="0.34104086503750136"/>
          <c:y val="0.11678832116788321"/>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8092738407698"/>
          <c:y val="5.7907809807035922E-2"/>
          <c:w val="0.76549803149606299"/>
          <c:h val="0.8532263188131527"/>
        </c:manualLayout>
      </c:layout>
      <c:barChart>
        <c:barDir val="col"/>
        <c:grouping val="clustered"/>
        <c:varyColors val="0"/>
        <c:ser>
          <c:idx val="0"/>
          <c:order val="0"/>
          <c:tx>
            <c:strRef>
              <c:f>'Pivot Table'!$C$3:$C$4</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Table'!$B$5:$B$7</c:f>
              <c:strCache>
                <c:ptCount val="2"/>
                <c:pt idx="0">
                  <c:v>Female</c:v>
                </c:pt>
                <c:pt idx="1">
                  <c:v>Male</c:v>
                </c:pt>
              </c:strCache>
            </c:strRef>
          </c:cat>
          <c:val>
            <c:numRef>
              <c:f>'Pivot Table'!$C$5:$C$7</c:f>
              <c:numCache>
                <c:formatCode>_(* #,##0_);_(* \(#,##0\);_(* "-"??_);_(@_)</c:formatCode>
                <c:ptCount val="2"/>
                <c:pt idx="0">
                  <c:v>53440</c:v>
                </c:pt>
                <c:pt idx="1">
                  <c:v>56208.178438661707</c:v>
                </c:pt>
              </c:numCache>
            </c:numRef>
          </c:val>
          <c:extLst>
            <c:ext xmlns:c16="http://schemas.microsoft.com/office/drawing/2014/chart" uri="{C3380CC4-5D6E-409C-BE32-E72D297353CC}">
              <c16:uniqueId val="{00000000-DDDC-824A-90FE-7897BDD626BA}"/>
            </c:ext>
          </c:extLst>
        </c:ser>
        <c:ser>
          <c:idx val="1"/>
          <c:order val="1"/>
          <c:tx>
            <c:strRef>
              <c:f>'Pivot Table'!$D$3:$D$4</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Table'!$B$5:$B$7</c:f>
              <c:strCache>
                <c:ptCount val="2"/>
                <c:pt idx="0">
                  <c:v>Female</c:v>
                </c:pt>
                <c:pt idx="1">
                  <c:v>Male</c:v>
                </c:pt>
              </c:strCache>
            </c:strRef>
          </c:cat>
          <c:val>
            <c:numRef>
              <c:f>'Pivot Table'!$D$5:$D$7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DDC-824A-90FE-7897BDD626BA}"/>
            </c:ext>
          </c:extLst>
        </c:ser>
        <c:dLbls>
          <c:showLegendKey val="0"/>
          <c:showVal val="0"/>
          <c:showCatName val="0"/>
          <c:showSerName val="0"/>
          <c:showPercent val="0"/>
          <c:showBubbleSize val="0"/>
        </c:dLbls>
        <c:gapWidth val="100"/>
        <c:overlap val="-24"/>
        <c:axId val="332215487"/>
        <c:axId val="299391567"/>
      </c:barChart>
      <c:catAx>
        <c:axId val="3322154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t>GEnder</a:t>
                </a:r>
              </a:p>
            </c:rich>
          </c:tx>
          <c:layout>
            <c:manualLayout>
              <c:xMode val="edge"/>
              <c:yMode val="edge"/>
              <c:x val="0.5051023961810599"/>
              <c:y val="0.9489597103281796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9391567"/>
        <c:crosses val="autoZero"/>
        <c:auto val="1"/>
        <c:lblAlgn val="ctr"/>
        <c:lblOffset val="100"/>
        <c:noMultiLvlLbl val="0"/>
      </c:catAx>
      <c:valAx>
        <c:axId val="299391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r>
                  <a:rPr lang="en-US" b="1"/>
                  <a:t>income</a:t>
                </a:r>
              </a:p>
              <a:p>
                <a:pPr>
                  <a:defRPr b="1"/>
                </a:pPr>
                <a:endParaRPr lang="en-US" b="1"/>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221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3895855610643"/>
          <c:y val="0.13586080586080587"/>
          <c:w val="0.77398318265772337"/>
          <c:h val="0.69150817686250754"/>
        </c:manualLayout>
      </c:layout>
      <c:lineChart>
        <c:grouping val="standard"/>
        <c:varyColors val="0"/>
        <c:ser>
          <c:idx val="0"/>
          <c:order val="0"/>
          <c:tx>
            <c:strRef>
              <c:f>'Pivot Table'!$C$29:$C$30</c:f>
              <c:strCache>
                <c:ptCount val="1"/>
                <c:pt idx="0">
                  <c:v>No</c:v>
                </c:pt>
              </c:strCache>
            </c:strRef>
          </c:tx>
          <c:spPr>
            <a:ln w="28575" cap="rnd">
              <a:solidFill>
                <a:schemeClr val="accent1"/>
              </a:solidFill>
              <a:round/>
            </a:ln>
            <a:effectLst/>
          </c:spPr>
          <c:marker>
            <c:symbol val="none"/>
          </c:marker>
          <c:cat>
            <c:strRef>
              <c:f>'Pivot Table'!$B$31:$B$36</c:f>
              <c:strCache>
                <c:ptCount val="5"/>
                <c:pt idx="0">
                  <c:v>0-1 Miles</c:v>
                </c:pt>
                <c:pt idx="1">
                  <c:v>1-2 Miles</c:v>
                </c:pt>
                <c:pt idx="2">
                  <c:v>2-5 Miles</c:v>
                </c:pt>
                <c:pt idx="3">
                  <c:v>5-10 Miles</c:v>
                </c:pt>
                <c:pt idx="4">
                  <c:v>More than 10 Miles</c:v>
                </c:pt>
              </c:strCache>
            </c:strRef>
          </c:cat>
          <c:val>
            <c:numRef>
              <c:f>'Pivot Table'!$C$31:$C$36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162-8D4C-8D2E-35FD7FE07E22}"/>
            </c:ext>
          </c:extLst>
        </c:ser>
        <c:ser>
          <c:idx val="1"/>
          <c:order val="1"/>
          <c:tx>
            <c:strRef>
              <c:f>'Pivot Table'!$D$29:$D$30</c:f>
              <c:strCache>
                <c:ptCount val="1"/>
                <c:pt idx="0">
                  <c:v>Yes</c:v>
                </c:pt>
              </c:strCache>
            </c:strRef>
          </c:tx>
          <c:spPr>
            <a:ln w="28575" cap="rnd">
              <a:solidFill>
                <a:schemeClr val="accent2"/>
              </a:solidFill>
              <a:round/>
            </a:ln>
            <a:effectLst/>
          </c:spPr>
          <c:marker>
            <c:symbol val="none"/>
          </c:marker>
          <c:cat>
            <c:strRef>
              <c:f>'Pivot Table'!$B$31:$B$36</c:f>
              <c:strCache>
                <c:ptCount val="5"/>
                <c:pt idx="0">
                  <c:v>0-1 Miles</c:v>
                </c:pt>
                <c:pt idx="1">
                  <c:v>1-2 Miles</c:v>
                </c:pt>
                <c:pt idx="2">
                  <c:v>2-5 Miles</c:v>
                </c:pt>
                <c:pt idx="3">
                  <c:v>5-10 Miles</c:v>
                </c:pt>
                <c:pt idx="4">
                  <c:v>More than 10 Miles</c:v>
                </c:pt>
              </c:strCache>
            </c:strRef>
          </c:cat>
          <c:val>
            <c:numRef>
              <c:f>'Pivot Table'!$D$31:$D$36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162-8D4C-8D2E-35FD7FE07E22}"/>
            </c:ext>
          </c:extLst>
        </c:ser>
        <c:dLbls>
          <c:showLegendKey val="0"/>
          <c:showVal val="0"/>
          <c:showCatName val="0"/>
          <c:showSerName val="0"/>
          <c:showPercent val="0"/>
          <c:showBubbleSize val="0"/>
        </c:dLbls>
        <c:smooth val="0"/>
        <c:axId val="332369023"/>
        <c:axId val="418841295"/>
      </c:lineChart>
      <c:catAx>
        <c:axId val="332369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Commute</a:t>
                </a:r>
                <a:r>
                  <a:rPr lang="en-US" sz="1100" b="1" baseline="0"/>
                  <a:t> Distance</a:t>
                </a:r>
                <a:endParaRPr lang="en-US" sz="11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841295"/>
        <c:crosses val="autoZero"/>
        <c:auto val="1"/>
        <c:lblAlgn val="ctr"/>
        <c:lblOffset val="150"/>
        <c:tickLblSkip val="1"/>
        <c:noMultiLvlLbl val="0"/>
      </c:catAx>
      <c:valAx>
        <c:axId val="4188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Count</a:t>
                </a:r>
                <a:r>
                  <a:rPr lang="en-US" sz="1100" baseline="0"/>
                  <a:t> of Purchasd Bike</a:t>
                </a:r>
                <a:endParaRPr lang="en-US" sz="1100"/>
              </a:p>
            </c:rich>
          </c:tx>
          <c:layout>
            <c:manualLayout>
              <c:xMode val="edge"/>
              <c:yMode val="edge"/>
              <c:x val="0"/>
              <c:y val="0.28457269764356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36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18839455412901E-2"/>
          <c:y val="0.15716101694915255"/>
          <c:w val="0.81835925681703581"/>
          <c:h val="0.65468937675163486"/>
        </c:manualLayout>
      </c:layout>
      <c:lineChart>
        <c:grouping val="stacked"/>
        <c:varyColors val="0"/>
        <c:ser>
          <c:idx val="0"/>
          <c:order val="0"/>
          <c:tx>
            <c:strRef>
              <c:f>'Pivot Table'!$C$63:$C$64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Table'!$B$65:$B$68</c:f>
              <c:strCache>
                <c:ptCount val="3"/>
                <c:pt idx="0">
                  <c:v>Adolescent</c:v>
                </c:pt>
                <c:pt idx="1">
                  <c:v>Middle Age</c:v>
                </c:pt>
                <c:pt idx="2">
                  <c:v>Old</c:v>
                </c:pt>
              </c:strCache>
            </c:strRef>
          </c:cat>
          <c:val>
            <c:numRef>
              <c:f>'Pivot Table'!$C$65:$C$68</c:f>
              <c:numCache>
                <c:formatCode>General</c:formatCode>
                <c:ptCount val="3"/>
                <c:pt idx="0">
                  <c:v>52</c:v>
                </c:pt>
                <c:pt idx="1">
                  <c:v>337</c:v>
                </c:pt>
                <c:pt idx="2">
                  <c:v>130</c:v>
                </c:pt>
              </c:numCache>
            </c:numRef>
          </c:val>
          <c:smooth val="0"/>
          <c:extLst>
            <c:ext xmlns:c16="http://schemas.microsoft.com/office/drawing/2014/chart" uri="{C3380CC4-5D6E-409C-BE32-E72D297353CC}">
              <c16:uniqueId val="{00000000-48AB-434B-BB7A-A4D82B87EE67}"/>
            </c:ext>
          </c:extLst>
        </c:ser>
        <c:ser>
          <c:idx val="1"/>
          <c:order val="1"/>
          <c:tx>
            <c:strRef>
              <c:f>'Pivot Table'!$D$63:$D$64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Table'!$B$65:$B$68</c:f>
              <c:strCache>
                <c:ptCount val="3"/>
                <c:pt idx="0">
                  <c:v>Adolescent</c:v>
                </c:pt>
                <c:pt idx="1">
                  <c:v>Middle Age</c:v>
                </c:pt>
                <c:pt idx="2">
                  <c:v>Old</c:v>
                </c:pt>
              </c:strCache>
            </c:strRef>
          </c:cat>
          <c:val>
            <c:numRef>
              <c:f>'Pivot Table'!$D$65:$D$68</c:f>
              <c:numCache>
                <c:formatCode>General</c:formatCode>
                <c:ptCount val="3"/>
                <c:pt idx="0">
                  <c:v>43</c:v>
                </c:pt>
                <c:pt idx="1">
                  <c:v>379</c:v>
                </c:pt>
                <c:pt idx="2">
                  <c:v>59</c:v>
                </c:pt>
              </c:numCache>
            </c:numRef>
          </c:val>
          <c:smooth val="0"/>
          <c:extLst>
            <c:ext xmlns:c16="http://schemas.microsoft.com/office/drawing/2014/chart" uri="{C3380CC4-5D6E-409C-BE32-E72D297353CC}">
              <c16:uniqueId val="{00000001-48AB-434B-BB7A-A4D82B87EE67}"/>
            </c:ext>
          </c:extLst>
        </c:ser>
        <c:dLbls>
          <c:showLegendKey val="0"/>
          <c:showVal val="0"/>
          <c:showCatName val="0"/>
          <c:showSerName val="0"/>
          <c:showPercent val="0"/>
          <c:showBubbleSize val="0"/>
        </c:dLbls>
        <c:marker val="1"/>
        <c:smooth val="0"/>
        <c:axId val="434152671"/>
        <c:axId val="418573903"/>
      </c:lineChart>
      <c:catAx>
        <c:axId val="434152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4744749341202084"/>
              <c:y val="0.931334578940344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73903"/>
        <c:crosses val="autoZero"/>
        <c:auto val="1"/>
        <c:lblAlgn val="ctr"/>
        <c:lblOffset val="100"/>
        <c:noMultiLvlLbl val="0"/>
      </c:catAx>
      <c:valAx>
        <c:axId val="418573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2.1528525296017221E-3"/>
              <c:y val="0.223414520218870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52671"/>
        <c:crosses val="autoZero"/>
        <c:crossBetween val="between"/>
      </c:valAx>
      <c:spPr>
        <a:noFill/>
        <a:ln>
          <a:noFill/>
        </a:ln>
        <a:effectLst/>
      </c:spPr>
    </c:plotArea>
    <c:legend>
      <c:legendPos val="r"/>
      <c:layout>
        <c:manualLayout>
          <c:xMode val="edge"/>
          <c:yMode val="edge"/>
          <c:x val="0.88524624077162772"/>
          <c:y val="0.49489356732950757"/>
          <c:w val="7.2274439015281189E-2"/>
          <c:h val="0.144231756774550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Table'!$C$93:$C$94</c:f>
              <c:strCache>
                <c:ptCount val="1"/>
                <c:pt idx="0">
                  <c:v>No</c:v>
                </c:pt>
              </c:strCache>
            </c:strRef>
          </c:tx>
          <c:spPr>
            <a:ln w="28575" cap="rnd">
              <a:solidFill>
                <a:schemeClr val="accent1"/>
              </a:solidFill>
              <a:round/>
            </a:ln>
            <a:effectLst/>
          </c:spPr>
          <c:marker>
            <c:symbol val="none"/>
          </c:marker>
          <c:cat>
            <c:strRef>
              <c:f>'Pivot Table'!$B$95:$B$148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Table'!$C$95:$C$148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F57-D143-BCF6-5DDDCAC733D4}"/>
            </c:ext>
          </c:extLst>
        </c:ser>
        <c:ser>
          <c:idx val="1"/>
          <c:order val="1"/>
          <c:tx>
            <c:strRef>
              <c:f>'Pivot Table'!$D$93:$D$94</c:f>
              <c:strCache>
                <c:ptCount val="1"/>
                <c:pt idx="0">
                  <c:v>Yes</c:v>
                </c:pt>
              </c:strCache>
            </c:strRef>
          </c:tx>
          <c:spPr>
            <a:ln w="28575" cap="rnd">
              <a:solidFill>
                <a:schemeClr val="accent2"/>
              </a:solidFill>
              <a:round/>
            </a:ln>
            <a:effectLst/>
          </c:spPr>
          <c:marker>
            <c:symbol val="none"/>
          </c:marker>
          <c:cat>
            <c:strRef>
              <c:f>'Pivot Table'!$B$95:$B$148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Table'!$D$95:$D$148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F57-D143-BCF6-5DDDCAC733D4}"/>
            </c:ext>
          </c:extLst>
        </c:ser>
        <c:dLbls>
          <c:showLegendKey val="0"/>
          <c:showVal val="0"/>
          <c:showCatName val="0"/>
          <c:showSerName val="0"/>
          <c:showPercent val="0"/>
          <c:showBubbleSize val="0"/>
        </c:dLbls>
        <c:smooth val="0"/>
        <c:axId val="413426175"/>
        <c:axId val="414063695"/>
      </c:lineChart>
      <c:catAx>
        <c:axId val="41342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63695"/>
        <c:crosses val="autoZero"/>
        <c:auto val="1"/>
        <c:lblAlgn val="ctr"/>
        <c:lblOffset val="100"/>
        <c:noMultiLvlLbl val="0"/>
      </c:catAx>
      <c:valAx>
        <c:axId val="41406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2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292100</xdr:colOff>
      <xdr:row>6</xdr:row>
      <xdr:rowOff>88900</xdr:rowOff>
    </xdr:from>
    <xdr:to>
      <xdr:col>9</xdr:col>
      <xdr:colOff>25400</xdr:colOff>
      <xdr:row>25</xdr:row>
      <xdr:rowOff>38100</xdr:rowOff>
    </xdr:to>
    <xdr:graphicFrame macro="">
      <xdr:nvGraphicFramePr>
        <xdr:cNvPr id="2" name="Chart 1">
          <a:extLst>
            <a:ext uri="{FF2B5EF4-FFF2-40B4-BE49-F238E27FC236}">
              <a16:creationId xmlns:a16="http://schemas.microsoft.com/office/drawing/2014/main" id="{E9A7E684-115B-504A-AE84-2FE640449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26</xdr:row>
      <xdr:rowOff>0</xdr:rowOff>
    </xdr:from>
    <xdr:to>
      <xdr:col>16</xdr:col>
      <xdr:colOff>0</xdr:colOff>
      <xdr:row>44</xdr:row>
      <xdr:rowOff>139700</xdr:rowOff>
    </xdr:to>
    <xdr:graphicFrame macro="">
      <xdr:nvGraphicFramePr>
        <xdr:cNvPr id="3" name="Chart 2">
          <a:extLst>
            <a:ext uri="{FF2B5EF4-FFF2-40B4-BE49-F238E27FC236}">
              <a16:creationId xmlns:a16="http://schemas.microsoft.com/office/drawing/2014/main" id="{6E3A1E88-A34D-E84E-9FA1-420A98F50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25400</xdr:colOff>
      <xdr:row>6</xdr:row>
      <xdr:rowOff>101600</xdr:rowOff>
    </xdr:from>
    <xdr:to>
      <xdr:col>16</xdr:col>
      <xdr:colOff>0</xdr:colOff>
      <xdr:row>25</xdr:row>
      <xdr:rowOff>50800</xdr:rowOff>
    </xdr:to>
    <xdr:graphicFrame macro="">
      <xdr:nvGraphicFramePr>
        <xdr:cNvPr id="4" name="Chart 3">
          <a:extLst>
            <a:ext uri="{FF2B5EF4-FFF2-40B4-BE49-F238E27FC236}">
              <a16:creationId xmlns:a16="http://schemas.microsoft.com/office/drawing/2014/main" id="{E219DB15-F9C4-F340-8733-65C622F7E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6</xdr:row>
      <xdr:rowOff>88900</xdr:rowOff>
    </xdr:from>
    <xdr:to>
      <xdr:col>2</xdr:col>
      <xdr:colOff>292100</xdr:colOff>
      <xdr:row>10</xdr:row>
      <xdr:rowOff>168269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95B548B-55CD-7C3E-4236-A1863C5BA94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4300" y="1231900"/>
              <a:ext cx="1828800" cy="841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17</xdr:row>
      <xdr:rowOff>0</xdr:rowOff>
    </xdr:from>
    <xdr:to>
      <xdr:col>2</xdr:col>
      <xdr:colOff>292100</xdr:colOff>
      <xdr:row>25</xdr:row>
      <xdr:rowOff>50800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AF2AD01-5A49-6E83-8738-7C2E28B9184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4300" y="3238500"/>
              <a:ext cx="1828800" cy="157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11</xdr:row>
      <xdr:rowOff>47631</xdr:rowOff>
    </xdr:from>
    <xdr:to>
      <xdr:col>2</xdr:col>
      <xdr:colOff>292100</xdr:colOff>
      <xdr:row>17</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4211AA5-CAE8-7C2F-E609-83AAFA2D05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300" y="2143131"/>
              <a:ext cx="1828800" cy="1095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0.86864</cdr:x>
      <cdr:y>0.32203</cdr:y>
    </cdr:from>
    <cdr:to>
      <cdr:x>1</cdr:x>
      <cdr:y>0.75847</cdr:y>
    </cdr:to>
    <cdr:sp macro="" textlink="">
      <cdr:nvSpPr>
        <cdr:cNvPr id="2" name="TextBox 1">
          <a:extLst xmlns:a="http://schemas.openxmlformats.org/drawingml/2006/main">
            <a:ext uri="{FF2B5EF4-FFF2-40B4-BE49-F238E27FC236}">
              <a16:creationId xmlns:a16="http://schemas.microsoft.com/office/drawing/2014/main" id="{E57459B9-A012-7BF1-B082-44F0B0839628}"/>
            </a:ext>
          </a:extLst>
        </cdr:cNvPr>
        <cdr:cNvSpPr txBox="1"/>
      </cdr:nvSpPr>
      <cdr:spPr>
        <a:xfrm xmlns:a="http://schemas.openxmlformats.org/drawingml/2006/main">
          <a:off x="6718301" y="965200"/>
          <a:ext cx="1015999" cy="13081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165100</xdr:colOff>
      <xdr:row>2</xdr:row>
      <xdr:rowOff>63500</xdr:rowOff>
    </xdr:from>
    <xdr:to>
      <xdr:col>13</xdr:col>
      <xdr:colOff>273050</xdr:colOff>
      <xdr:row>20</xdr:row>
      <xdr:rowOff>114300</xdr:rowOff>
    </xdr:to>
    <xdr:graphicFrame macro="">
      <xdr:nvGraphicFramePr>
        <xdr:cNvPr id="4" name="Chart 3">
          <a:extLst>
            <a:ext uri="{FF2B5EF4-FFF2-40B4-BE49-F238E27FC236}">
              <a16:creationId xmlns:a16="http://schemas.microsoft.com/office/drawing/2014/main" id="{D1BE8FA8-274E-5183-229C-F88AE7A6F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26</xdr:row>
      <xdr:rowOff>0</xdr:rowOff>
    </xdr:from>
    <xdr:to>
      <xdr:col>14</xdr:col>
      <xdr:colOff>15240</xdr:colOff>
      <xdr:row>44</xdr:row>
      <xdr:rowOff>101600</xdr:rowOff>
    </xdr:to>
    <xdr:graphicFrame macro="">
      <xdr:nvGraphicFramePr>
        <xdr:cNvPr id="5" name="Chart 4">
          <a:extLst>
            <a:ext uri="{FF2B5EF4-FFF2-40B4-BE49-F238E27FC236}">
              <a16:creationId xmlns:a16="http://schemas.microsoft.com/office/drawing/2014/main" id="{16AB7BAA-A4CC-7130-C0CE-48C73CD66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61</xdr:row>
      <xdr:rowOff>142240</xdr:rowOff>
    </xdr:from>
    <xdr:to>
      <xdr:col>14</xdr:col>
      <xdr:colOff>320040</xdr:colOff>
      <xdr:row>77</xdr:row>
      <xdr:rowOff>91440</xdr:rowOff>
    </xdr:to>
    <xdr:graphicFrame macro="">
      <xdr:nvGraphicFramePr>
        <xdr:cNvPr id="7" name="Chart 6">
          <a:extLst>
            <a:ext uri="{FF2B5EF4-FFF2-40B4-BE49-F238E27FC236}">
              <a16:creationId xmlns:a16="http://schemas.microsoft.com/office/drawing/2014/main" id="{EB989BE7-C84F-ABF9-C417-86E825659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330200</xdr:colOff>
      <xdr:row>96</xdr:row>
      <xdr:rowOff>38100</xdr:rowOff>
    </xdr:from>
    <xdr:to>
      <xdr:col>14</xdr:col>
      <xdr:colOff>762000</xdr:colOff>
      <xdr:row>110</xdr:row>
      <xdr:rowOff>114300</xdr:rowOff>
    </xdr:to>
    <xdr:graphicFrame macro="">
      <xdr:nvGraphicFramePr>
        <xdr:cNvPr id="8" name="Chart 7">
          <a:extLst>
            <a:ext uri="{FF2B5EF4-FFF2-40B4-BE49-F238E27FC236}">
              <a16:creationId xmlns:a16="http://schemas.microsoft.com/office/drawing/2014/main" id="{090D494D-9344-F89F-B5F0-20E98DBED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0.86864</cdr:x>
      <cdr:y>0.32203</cdr:y>
    </cdr:from>
    <cdr:to>
      <cdr:x>1</cdr:x>
      <cdr:y>0.75847</cdr:y>
    </cdr:to>
    <cdr:sp macro="" textlink="">
      <cdr:nvSpPr>
        <cdr:cNvPr id="2" name="TextBox 1">
          <a:extLst xmlns:a="http://schemas.openxmlformats.org/drawingml/2006/main">
            <a:ext uri="{FF2B5EF4-FFF2-40B4-BE49-F238E27FC236}">
              <a16:creationId xmlns:a16="http://schemas.microsoft.com/office/drawing/2014/main" id="{E57459B9-A012-7BF1-B082-44F0B0839628}"/>
            </a:ext>
          </a:extLst>
        </cdr:cNvPr>
        <cdr:cNvSpPr txBox="1"/>
      </cdr:nvSpPr>
      <cdr:spPr>
        <a:xfrm xmlns:a="http://schemas.openxmlformats.org/drawingml/2006/main">
          <a:off x="6718301" y="965200"/>
          <a:ext cx="1015999" cy="13081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a:p xmlns:a="http://schemas.openxmlformats.org/drawingml/2006/main">
          <a:r>
            <a:rPr lang="en-US" sz="1100"/>
            <a:t>Purchased Bike</a:t>
          </a:r>
        </a:p>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839.837867592592" createdVersion="8" refreshedVersion="8" minRefreshableVersion="3" recordCount="1000" xr:uid="{19773479-7184-F142-A92C-215CF231735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05632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2"/>
    <x v="0"/>
  </r>
  <r>
    <n v="17891"/>
    <x v="0"/>
    <x v="0"/>
    <n v="10000"/>
    <n v="2"/>
    <x v="1"/>
    <s v="Manual"/>
    <s v="Yes"/>
    <n v="1"/>
    <x v="0"/>
    <x v="0"/>
    <x v="5"/>
    <x v="2"/>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2"/>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2"/>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0"/>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2"/>
    <x v="0"/>
  </r>
  <r>
    <n v="25458"/>
    <x v="0"/>
    <x v="1"/>
    <n v="20000"/>
    <n v="1"/>
    <x v="2"/>
    <s v="Manual"/>
    <s v="No"/>
    <n v="1"/>
    <x v="3"/>
    <x v="0"/>
    <x v="8"/>
    <x v="2"/>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2"/>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2"/>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2"/>
    <x v="0"/>
  </r>
  <r>
    <n v="29191"/>
    <x v="1"/>
    <x v="0"/>
    <n v="130000"/>
    <n v="1"/>
    <x v="4"/>
    <s v="Management"/>
    <s v="No"/>
    <n v="1"/>
    <x v="0"/>
    <x v="1"/>
    <x v="4"/>
    <x v="2"/>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2"/>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2"/>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2"/>
    <x v="1"/>
  </r>
  <r>
    <n v="24279"/>
    <x v="1"/>
    <x v="1"/>
    <n v="40000"/>
    <n v="2"/>
    <x v="1"/>
    <s v="Skilled Manual"/>
    <s v="No"/>
    <n v="2"/>
    <x v="3"/>
    <x v="1"/>
    <x v="31"/>
    <x v="2"/>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2"/>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2"/>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2"/>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2"/>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2"/>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2"/>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2"/>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2"/>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2"/>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2"/>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2"/>
    <x v="1"/>
  </r>
  <r>
    <n v="23915"/>
    <x v="0"/>
    <x v="1"/>
    <n v="20000"/>
    <n v="2"/>
    <x v="2"/>
    <s v="Manual"/>
    <s v="Yes"/>
    <n v="2"/>
    <x v="0"/>
    <x v="0"/>
    <x v="0"/>
    <x v="2"/>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2"/>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2"/>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2"/>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2"/>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2"/>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2"/>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2"/>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2"/>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2"/>
    <x v="0"/>
  </r>
  <r>
    <n v="18560"/>
    <x v="0"/>
    <x v="0"/>
    <n v="70000"/>
    <n v="2"/>
    <x v="4"/>
    <s v="Professional"/>
    <s v="Yes"/>
    <n v="0"/>
    <x v="1"/>
    <x v="2"/>
    <x v="17"/>
    <x v="2"/>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2"/>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2"/>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2"/>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2"/>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2"/>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2"/>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2"/>
    <x v="1"/>
  </r>
  <r>
    <n v="12774"/>
    <x v="0"/>
    <x v="0"/>
    <n v="40000"/>
    <n v="1"/>
    <x v="1"/>
    <s v="Clerical"/>
    <s v="Yes"/>
    <n v="1"/>
    <x v="3"/>
    <x v="2"/>
    <x v="36"/>
    <x v="2"/>
    <x v="1"/>
  </r>
  <r>
    <n v="18910"/>
    <x v="1"/>
    <x v="1"/>
    <n v="30000"/>
    <n v="0"/>
    <x v="1"/>
    <s v="Skilled Manual"/>
    <s v="Yes"/>
    <n v="2"/>
    <x v="2"/>
    <x v="2"/>
    <x v="25"/>
    <x v="2"/>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2"/>
    <x v="1"/>
  </r>
  <r>
    <n v="18390"/>
    <x v="0"/>
    <x v="1"/>
    <n v="80000"/>
    <n v="5"/>
    <x v="1"/>
    <s v="Professional"/>
    <s v="Yes"/>
    <n v="2"/>
    <x v="0"/>
    <x v="2"/>
    <x v="20"/>
    <x v="2"/>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2"/>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2"/>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2"/>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2"/>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2"/>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2"/>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2"/>
    <x v="0"/>
  </r>
  <r>
    <n v="20076"/>
    <x v="1"/>
    <x v="0"/>
    <n v="10000"/>
    <n v="2"/>
    <x v="2"/>
    <s v="Manual"/>
    <s v="Yes"/>
    <n v="2"/>
    <x v="3"/>
    <x v="2"/>
    <x v="39"/>
    <x v="0"/>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2"/>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2"/>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2"/>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2"/>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2"/>
    <x v="1"/>
  </r>
  <r>
    <n v="17012"/>
    <x v="0"/>
    <x v="0"/>
    <n v="60000"/>
    <n v="3"/>
    <x v="4"/>
    <s v="Professional"/>
    <s v="Yes"/>
    <n v="0"/>
    <x v="1"/>
    <x v="2"/>
    <x v="0"/>
    <x v="2"/>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2"/>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2"/>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2"/>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2"/>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0D060-EECA-A94D-9DEE-D668AB7350F3}"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93:E14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A88B3-F690-B545-837E-5A8396094720}"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3:E6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66A227-5E46-F949-AC34-644CFE7135F4}" name="PivotTable2" cacheId="4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B29:E36"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sortType="ascending">
      <items count="8">
        <item x="0"/>
        <item x="3"/>
        <item m="1" x="6"/>
        <item m="1" x="5"/>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1"/>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3596B-9B05-7B4E-A30E-86D33B8A0B49}"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2"/>
  </dataFields>
  <formats count="1">
    <format dxfId="24">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354CD57-D612-B741-ACEE-EFB02624F5B3}" sourceName="Marital Status">
  <pivotTables>
    <pivotTable tabId="3" name="PivotTable1"/>
    <pivotTable tabId="3" name="PivotTable2"/>
    <pivotTable tabId="3" name="PivotTable3"/>
    <pivotTable tabId="3" name="PivotTable4"/>
  </pivotTables>
  <data>
    <tabular pivotCacheId="20056325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B7B3D71-19FA-C349-AA25-BCB55F8F91AA}" sourceName="Education">
  <pivotTables>
    <pivotTable tabId="3" name="PivotTable3"/>
    <pivotTable tabId="3" name="PivotTable1"/>
    <pivotTable tabId="3" name="PivotTable2"/>
    <pivotTable tabId="3" name="PivotTable4"/>
  </pivotTables>
  <data>
    <tabular pivotCacheId="200563257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6E84D3-6C7A-F046-AFD7-F6069F8D5D80}" sourceName="Region">
  <pivotTables>
    <pivotTable tabId="3" name="PivotTable3"/>
    <pivotTable tabId="3" name="PivotTable1"/>
    <pivotTable tabId="3" name="PivotTable2"/>
    <pivotTable tabId="3" name="PivotTable4"/>
  </pivotTables>
  <data>
    <tabular pivotCacheId="20056325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7A471B6-88CA-4246-86DA-78B2AAF6612F}" cache="Slicer_Marital_Status" caption="Marital Status" rowHeight="230716"/>
  <slicer name="Education" xr10:uid="{10FD5001-AD2F-994B-B992-A0D355ECE963}" cache="Slicer_Education" caption="Education" rowHeight="230716"/>
  <slicer name="Region" xr10:uid="{D534DA56-F65D-3343-A48B-A1B8A547D723}"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4"/>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F95C-414F-094F-A927-F3B8626E9C22}">
  <dimension ref="A1:P6"/>
  <sheetViews>
    <sheetView showGridLines="0" tabSelected="1" topLeftCell="A25" zoomScaleNormal="100" workbookViewId="0">
      <selection activeCell="R10" sqref="R10"/>
    </sheetView>
  </sheetViews>
  <sheetFormatPr baseColWidth="10" defaultRowHeight="15" x14ac:dyDescent="0.2"/>
  <cols>
    <col min="14" max="14" width="20.83203125" customWidth="1"/>
    <col min="15" max="15" width="10.83203125" hidden="1" customWidth="1"/>
  </cols>
  <sheetData>
    <row r="1" spans="1:16" x14ac:dyDescent="0.2">
      <c r="A1" s="9" t="s">
        <v>50</v>
      </c>
      <c r="B1" s="8"/>
      <c r="C1" s="8"/>
      <c r="D1" s="8"/>
      <c r="E1" s="8"/>
      <c r="F1" s="8"/>
      <c r="G1" s="8"/>
      <c r="H1" s="8"/>
      <c r="I1" s="8"/>
      <c r="J1" s="8"/>
      <c r="K1" s="8"/>
      <c r="L1" s="8"/>
      <c r="M1" s="8"/>
      <c r="N1" s="8"/>
      <c r="O1" s="8"/>
      <c r="P1" s="7"/>
    </row>
    <row r="2" spans="1:16" x14ac:dyDescent="0.2">
      <c r="A2" s="8"/>
      <c r="B2" s="8"/>
      <c r="C2" s="8"/>
      <c r="D2" s="8"/>
      <c r="E2" s="8"/>
      <c r="F2" s="8"/>
      <c r="G2" s="8"/>
      <c r="H2" s="8"/>
      <c r="I2" s="8"/>
      <c r="J2" s="8"/>
      <c r="K2" s="8"/>
      <c r="L2" s="8"/>
      <c r="M2" s="8"/>
      <c r="N2" s="8"/>
      <c r="O2" s="8"/>
      <c r="P2" s="7"/>
    </row>
    <row r="3" spans="1:16" x14ac:dyDescent="0.2">
      <c r="A3" s="8"/>
      <c r="B3" s="8"/>
      <c r="C3" s="8"/>
      <c r="D3" s="8"/>
      <c r="E3" s="8"/>
      <c r="F3" s="8"/>
      <c r="G3" s="8"/>
      <c r="H3" s="8"/>
      <c r="I3" s="8"/>
      <c r="J3" s="8"/>
      <c r="K3" s="8"/>
      <c r="L3" s="8"/>
      <c r="M3" s="8"/>
      <c r="N3" s="8"/>
      <c r="O3" s="8"/>
      <c r="P3" s="7"/>
    </row>
    <row r="4" spans="1:16" x14ac:dyDescent="0.2">
      <c r="A4" s="8"/>
      <c r="B4" s="8"/>
      <c r="C4" s="8"/>
      <c r="D4" s="8"/>
      <c r="E4" s="8"/>
      <c r="F4" s="8"/>
      <c r="G4" s="8"/>
      <c r="H4" s="8"/>
      <c r="I4" s="8"/>
      <c r="J4" s="8"/>
      <c r="K4" s="8"/>
      <c r="L4" s="8"/>
      <c r="M4" s="8"/>
      <c r="N4" s="8"/>
      <c r="O4" s="8"/>
      <c r="P4" s="7"/>
    </row>
    <row r="5" spans="1:16" x14ac:dyDescent="0.2">
      <c r="A5" s="8"/>
      <c r="B5" s="8"/>
      <c r="C5" s="8"/>
      <c r="D5" s="8"/>
      <c r="E5" s="8"/>
      <c r="F5" s="8"/>
      <c r="G5" s="8"/>
      <c r="H5" s="8"/>
      <c r="I5" s="8"/>
      <c r="J5" s="8"/>
      <c r="K5" s="8"/>
      <c r="L5" s="8"/>
      <c r="M5" s="8"/>
      <c r="N5" s="8"/>
      <c r="O5" s="8"/>
      <c r="P5" s="7"/>
    </row>
    <row r="6" spans="1:16" x14ac:dyDescent="0.2">
      <c r="A6" s="8"/>
      <c r="B6" s="8"/>
      <c r="C6" s="8"/>
      <c r="D6" s="8"/>
      <c r="E6" s="8"/>
      <c r="F6" s="8"/>
      <c r="G6" s="8"/>
      <c r="H6" s="8"/>
      <c r="I6" s="8"/>
      <c r="J6" s="8"/>
      <c r="K6" s="8"/>
      <c r="L6" s="8"/>
      <c r="M6" s="8"/>
      <c r="N6" s="8"/>
      <c r="O6" s="8"/>
      <c r="P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1685-2FF9-8C40-BC30-DE0BA4B4F3A1}">
  <dimension ref="B3:E148"/>
  <sheetViews>
    <sheetView topLeftCell="B60" zoomScale="125" zoomScaleNormal="125" workbookViewId="0">
      <selection activeCell="D32" sqref="D32"/>
    </sheetView>
  </sheetViews>
  <sheetFormatPr baseColWidth="10" defaultRowHeight="15" x14ac:dyDescent="0.2"/>
  <cols>
    <col min="2" max="2" width="24.33203125" customWidth="1"/>
    <col min="3" max="3" width="13" customWidth="1"/>
    <col min="4" max="4" width="15" customWidth="1"/>
    <col min="5" max="5" width="16" customWidth="1"/>
  </cols>
  <sheetData>
    <row r="3" spans="2:5" x14ac:dyDescent="0.2">
      <c r="B3" s="4" t="s">
        <v>43</v>
      </c>
      <c r="C3" s="4" t="s">
        <v>44</v>
      </c>
    </row>
    <row r="4" spans="2:5" x14ac:dyDescent="0.2">
      <c r="B4" s="4" t="s">
        <v>41</v>
      </c>
      <c r="C4" t="s">
        <v>18</v>
      </c>
      <c r="D4" t="s">
        <v>15</v>
      </c>
      <c r="E4" t="s">
        <v>42</v>
      </c>
    </row>
    <row r="5" spans="2:5" x14ac:dyDescent="0.2">
      <c r="B5" s="5" t="s">
        <v>39</v>
      </c>
      <c r="C5" s="6">
        <v>53440</v>
      </c>
      <c r="D5" s="6">
        <v>55774.058577405856</v>
      </c>
      <c r="E5" s="6">
        <v>54580.777096114522</v>
      </c>
    </row>
    <row r="6" spans="2:5" x14ac:dyDescent="0.2">
      <c r="B6" s="5" t="s">
        <v>38</v>
      </c>
      <c r="C6" s="6">
        <v>56208.178438661707</v>
      </c>
      <c r="D6" s="6">
        <v>60123.966942148763</v>
      </c>
      <c r="E6" s="6">
        <v>58062.62230919765</v>
      </c>
    </row>
    <row r="7" spans="2:5" x14ac:dyDescent="0.2">
      <c r="B7" s="5" t="s">
        <v>42</v>
      </c>
      <c r="C7" s="6">
        <v>54874.759152215796</v>
      </c>
      <c r="D7" s="6">
        <v>57962.577962577961</v>
      </c>
      <c r="E7" s="6">
        <v>56360</v>
      </c>
    </row>
    <row r="26" spans="2:5" ht="2" customHeight="1" x14ac:dyDescent="0.2"/>
    <row r="27" spans="2:5" hidden="1" x14ac:dyDescent="0.2"/>
    <row r="28" spans="2:5" hidden="1" x14ac:dyDescent="0.2"/>
    <row r="29" spans="2:5" x14ac:dyDescent="0.2">
      <c r="B29" s="4" t="s">
        <v>45</v>
      </c>
      <c r="C29" s="4" t="s">
        <v>12</v>
      </c>
    </row>
    <row r="30" spans="2:5" x14ac:dyDescent="0.2">
      <c r="B30" s="4" t="s">
        <v>9</v>
      </c>
      <c r="C30" t="s">
        <v>18</v>
      </c>
      <c r="D30" t="s">
        <v>15</v>
      </c>
      <c r="E30" t="s">
        <v>42</v>
      </c>
    </row>
    <row r="31" spans="2:5" x14ac:dyDescent="0.2">
      <c r="B31" t="s">
        <v>16</v>
      </c>
      <c r="C31" s="3">
        <v>166</v>
      </c>
      <c r="D31" s="3">
        <v>200</v>
      </c>
      <c r="E31" s="3">
        <v>366</v>
      </c>
    </row>
    <row r="32" spans="2:5" x14ac:dyDescent="0.2">
      <c r="B32" t="s">
        <v>26</v>
      </c>
      <c r="C32" s="3">
        <v>92</v>
      </c>
      <c r="D32" s="3">
        <v>77</v>
      </c>
      <c r="E32" s="3">
        <v>169</v>
      </c>
    </row>
    <row r="33" spans="2:5" x14ac:dyDescent="0.2">
      <c r="B33" t="s">
        <v>22</v>
      </c>
      <c r="C33" s="3">
        <v>67</v>
      </c>
      <c r="D33" s="3">
        <v>95</v>
      </c>
      <c r="E33" s="3">
        <v>162</v>
      </c>
    </row>
    <row r="34" spans="2:5" x14ac:dyDescent="0.2">
      <c r="B34" t="s">
        <v>23</v>
      </c>
      <c r="C34" s="3">
        <v>116</v>
      </c>
      <c r="D34" s="3">
        <v>76</v>
      </c>
      <c r="E34" s="3">
        <v>192</v>
      </c>
    </row>
    <row r="35" spans="2:5" x14ac:dyDescent="0.2">
      <c r="B35" t="s">
        <v>46</v>
      </c>
      <c r="C35" s="3">
        <v>78</v>
      </c>
      <c r="D35" s="3">
        <v>33</v>
      </c>
      <c r="E35" s="3">
        <v>111</v>
      </c>
    </row>
    <row r="36" spans="2:5" x14ac:dyDescent="0.2">
      <c r="B36" t="s">
        <v>42</v>
      </c>
      <c r="C36" s="3">
        <v>519</v>
      </c>
      <c r="D36" s="3">
        <v>481</v>
      </c>
      <c r="E36" s="3">
        <v>1000</v>
      </c>
    </row>
    <row r="63" spans="2:5" x14ac:dyDescent="0.2">
      <c r="B63" s="4" t="s">
        <v>45</v>
      </c>
      <c r="C63" s="4" t="s">
        <v>44</v>
      </c>
    </row>
    <row r="64" spans="2:5" x14ac:dyDescent="0.2">
      <c r="B64" s="4" t="s">
        <v>41</v>
      </c>
      <c r="C64" t="s">
        <v>18</v>
      </c>
      <c r="D64" t="s">
        <v>15</v>
      </c>
      <c r="E64" t="s">
        <v>42</v>
      </c>
    </row>
    <row r="65" spans="2:5" x14ac:dyDescent="0.2">
      <c r="B65" s="5" t="s">
        <v>47</v>
      </c>
      <c r="C65" s="3">
        <v>52</v>
      </c>
      <c r="D65" s="3">
        <v>43</v>
      </c>
      <c r="E65" s="3">
        <v>95</v>
      </c>
    </row>
    <row r="66" spans="2:5" x14ac:dyDescent="0.2">
      <c r="B66" s="5" t="s">
        <v>48</v>
      </c>
      <c r="C66" s="3">
        <v>337</v>
      </c>
      <c r="D66" s="3">
        <v>379</v>
      </c>
      <c r="E66" s="3">
        <v>716</v>
      </c>
    </row>
    <row r="67" spans="2:5" x14ac:dyDescent="0.2">
      <c r="B67" s="5" t="s">
        <v>49</v>
      </c>
      <c r="C67" s="3">
        <v>130</v>
      </c>
      <c r="D67" s="3">
        <v>59</v>
      </c>
      <c r="E67" s="3">
        <v>189</v>
      </c>
    </row>
    <row r="68" spans="2:5" x14ac:dyDescent="0.2">
      <c r="B68" s="5" t="s">
        <v>42</v>
      </c>
      <c r="C68" s="3">
        <v>519</v>
      </c>
      <c r="D68" s="3">
        <v>481</v>
      </c>
      <c r="E68" s="3">
        <v>1000</v>
      </c>
    </row>
    <row r="93" spans="2:5" x14ac:dyDescent="0.2">
      <c r="B93" s="4" t="s">
        <v>45</v>
      </c>
      <c r="C93" s="4" t="s">
        <v>44</v>
      </c>
    </row>
    <row r="94" spans="2:5" x14ac:dyDescent="0.2">
      <c r="B94" s="4" t="s">
        <v>41</v>
      </c>
      <c r="C94" t="s">
        <v>18</v>
      </c>
      <c r="D94" t="s">
        <v>15</v>
      </c>
      <c r="E94" t="s">
        <v>42</v>
      </c>
    </row>
    <row r="95" spans="2:5" x14ac:dyDescent="0.2">
      <c r="B95" s="5">
        <v>25</v>
      </c>
      <c r="C95" s="3">
        <v>2</v>
      </c>
      <c r="D95" s="3">
        <v>4</v>
      </c>
      <c r="E95" s="3">
        <v>6</v>
      </c>
    </row>
    <row r="96" spans="2:5" x14ac:dyDescent="0.2">
      <c r="B96" s="5">
        <v>26</v>
      </c>
      <c r="C96" s="3">
        <v>8</v>
      </c>
      <c r="D96" s="3">
        <v>8</v>
      </c>
      <c r="E96" s="3">
        <v>16</v>
      </c>
    </row>
    <row r="97" spans="2:5" x14ac:dyDescent="0.2">
      <c r="B97" s="5">
        <v>27</v>
      </c>
      <c r="C97" s="3">
        <v>15</v>
      </c>
      <c r="D97" s="3">
        <v>8</v>
      </c>
      <c r="E97" s="3">
        <v>23</v>
      </c>
    </row>
    <row r="98" spans="2:5" x14ac:dyDescent="0.2">
      <c r="B98" s="5">
        <v>28</v>
      </c>
      <c r="C98" s="3">
        <v>12</v>
      </c>
      <c r="D98" s="3">
        <v>10</v>
      </c>
      <c r="E98" s="3">
        <v>22</v>
      </c>
    </row>
    <row r="99" spans="2:5" x14ac:dyDescent="0.2">
      <c r="B99" s="5">
        <v>29</v>
      </c>
      <c r="C99" s="3">
        <v>11</v>
      </c>
      <c r="D99" s="3">
        <v>5</v>
      </c>
      <c r="E99" s="3">
        <v>16</v>
      </c>
    </row>
    <row r="100" spans="2:5" x14ac:dyDescent="0.2">
      <c r="B100" s="5">
        <v>30</v>
      </c>
      <c r="C100" s="3">
        <v>23</v>
      </c>
      <c r="D100" s="3">
        <v>4</v>
      </c>
      <c r="E100" s="3">
        <v>27</v>
      </c>
    </row>
    <row r="101" spans="2:5" x14ac:dyDescent="0.2">
      <c r="B101" s="5">
        <v>31</v>
      </c>
      <c r="C101" s="3">
        <v>17</v>
      </c>
      <c r="D101" s="3">
        <v>8</v>
      </c>
      <c r="E101" s="3">
        <v>25</v>
      </c>
    </row>
    <row r="102" spans="2:5" x14ac:dyDescent="0.2">
      <c r="B102" s="5">
        <v>32</v>
      </c>
      <c r="C102" s="3">
        <v>19</v>
      </c>
      <c r="D102" s="3">
        <v>14</v>
      </c>
      <c r="E102" s="3">
        <v>33</v>
      </c>
    </row>
    <row r="103" spans="2:5" x14ac:dyDescent="0.2">
      <c r="B103" s="5">
        <v>33</v>
      </c>
      <c r="C103" s="3">
        <v>8</v>
      </c>
      <c r="D103" s="3">
        <v>13</v>
      </c>
      <c r="E103" s="3">
        <v>21</v>
      </c>
    </row>
    <row r="104" spans="2:5" x14ac:dyDescent="0.2">
      <c r="B104" s="5">
        <v>34</v>
      </c>
      <c r="C104" s="3">
        <v>12</v>
      </c>
      <c r="D104" s="3">
        <v>19</v>
      </c>
      <c r="E104" s="3">
        <v>31</v>
      </c>
    </row>
    <row r="105" spans="2:5" x14ac:dyDescent="0.2">
      <c r="B105" s="5">
        <v>35</v>
      </c>
      <c r="C105" s="3">
        <v>14</v>
      </c>
      <c r="D105" s="3">
        <v>22</v>
      </c>
      <c r="E105" s="3">
        <v>36</v>
      </c>
    </row>
    <row r="106" spans="2:5" x14ac:dyDescent="0.2">
      <c r="B106" s="5">
        <v>36</v>
      </c>
      <c r="C106" s="3">
        <v>7</v>
      </c>
      <c r="D106" s="3">
        <v>30</v>
      </c>
      <c r="E106" s="3">
        <v>37</v>
      </c>
    </row>
    <row r="107" spans="2:5" x14ac:dyDescent="0.2">
      <c r="B107" s="5">
        <v>37</v>
      </c>
      <c r="C107" s="3">
        <v>4</v>
      </c>
      <c r="D107" s="3">
        <v>28</v>
      </c>
      <c r="E107" s="3">
        <v>32</v>
      </c>
    </row>
    <row r="108" spans="2:5" x14ac:dyDescent="0.2">
      <c r="B108" s="5">
        <v>38</v>
      </c>
      <c r="C108" s="3">
        <v>8</v>
      </c>
      <c r="D108" s="3">
        <v>29</v>
      </c>
      <c r="E108" s="3">
        <v>37</v>
      </c>
    </row>
    <row r="109" spans="2:5" x14ac:dyDescent="0.2">
      <c r="B109" s="5">
        <v>39</v>
      </c>
      <c r="C109" s="3">
        <v>10</v>
      </c>
      <c r="D109" s="3">
        <v>12</v>
      </c>
      <c r="E109" s="3">
        <v>22</v>
      </c>
    </row>
    <row r="110" spans="2:5" x14ac:dyDescent="0.2">
      <c r="B110" s="5">
        <v>40</v>
      </c>
      <c r="C110" s="3">
        <v>24</v>
      </c>
      <c r="D110" s="3">
        <v>18</v>
      </c>
      <c r="E110" s="3">
        <v>42</v>
      </c>
    </row>
    <row r="111" spans="2:5" x14ac:dyDescent="0.2">
      <c r="B111" s="5">
        <v>41</v>
      </c>
      <c r="C111" s="3">
        <v>13</v>
      </c>
      <c r="D111" s="3">
        <v>15</v>
      </c>
      <c r="E111" s="3">
        <v>28</v>
      </c>
    </row>
    <row r="112" spans="2:5" x14ac:dyDescent="0.2">
      <c r="B112" s="5">
        <v>42</v>
      </c>
      <c r="C112" s="3">
        <v>22</v>
      </c>
      <c r="D112" s="3">
        <v>12</v>
      </c>
      <c r="E112" s="3">
        <v>34</v>
      </c>
    </row>
    <row r="113" spans="2:5" x14ac:dyDescent="0.2">
      <c r="B113" s="5">
        <v>43</v>
      </c>
      <c r="C113" s="3">
        <v>17</v>
      </c>
      <c r="D113" s="3">
        <v>19</v>
      </c>
      <c r="E113" s="3">
        <v>36</v>
      </c>
    </row>
    <row r="114" spans="2:5" x14ac:dyDescent="0.2">
      <c r="B114" s="5">
        <v>44</v>
      </c>
      <c r="C114" s="3">
        <v>15</v>
      </c>
      <c r="D114" s="3">
        <v>12</v>
      </c>
      <c r="E114" s="3">
        <v>27</v>
      </c>
    </row>
    <row r="115" spans="2:5" x14ac:dyDescent="0.2">
      <c r="B115" s="5">
        <v>45</v>
      </c>
      <c r="C115" s="3">
        <v>18</v>
      </c>
      <c r="D115" s="3">
        <v>13</v>
      </c>
      <c r="E115" s="3">
        <v>31</v>
      </c>
    </row>
    <row r="116" spans="2:5" x14ac:dyDescent="0.2">
      <c r="B116" s="5">
        <v>46</v>
      </c>
      <c r="C116" s="3">
        <v>12</v>
      </c>
      <c r="D116" s="3">
        <v>15</v>
      </c>
      <c r="E116" s="3">
        <v>27</v>
      </c>
    </row>
    <row r="117" spans="2:5" x14ac:dyDescent="0.2">
      <c r="B117" s="5">
        <v>47</v>
      </c>
      <c r="C117" s="3">
        <v>19</v>
      </c>
      <c r="D117" s="3">
        <v>20</v>
      </c>
      <c r="E117" s="3">
        <v>39</v>
      </c>
    </row>
    <row r="118" spans="2:5" x14ac:dyDescent="0.2">
      <c r="B118" s="5">
        <v>48</v>
      </c>
      <c r="C118" s="3">
        <v>16</v>
      </c>
      <c r="D118" s="3">
        <v>13</v>
      </c>
      <c r="E118" s="3">
        <v>29</v>
      </c>
    </row>
    <row r="119" spans="2:5" x14ac:dyDescent="0.2">
      <c r="B119" s="5">
        <v>49</v>
      </c>
      <c r="C119" s="3">
        <v>15</v>
      </c>
      <c r="D119" s="3">
        <v>8</v>
      </c>
      <c r="E119" s="3">
        <v>23</v>
      </c>
    </row>
    <row r="120" spans="2:5" x14ac:dyDescent="0.2">
      <c r="B120" s="5">
        <v>50</v>
      </c>
      <c r="C120" s="3">
        <v>12</v>
      </c>
      <c r="D120" s="3">
        <v>12</v>
      </c>
      <c r="E120" s="3">
        <v>24</v>
      </c>
    </row>
    <row r="121" spans="2:5" x14ac:dyDescent="0.2">
      <c r="B121" s="5">
        <v>51</v>
      </c>
      <c r="C121" s="3">
        <v>10</v>
      </c>
      <c r="D121" s="3">
        <v>12</v>
      </c>
      <c r="E121" s="3">
        <v>22</v>
      </c>
    </row>
    <row r="122" spans="2:5" x14ac:dyDescent="0.2">
      <c r="B122" s="5">
        <v>52</v>
      </c>
      <c r="C122" s="3">
        <v>10</v>
      </c>
      <c r="D122" s="3">
        <v>15</v>
      </c>
      <c r="E122" s="3">
        <v>25</v>
      </c>
    </row>
    <row r="123" spans="2:5" x14ac:dyDescent="0.2">
      <c r="B123" s="5">
        <v>53</v>
      </c>
      <c r="C123" s="3">
        <v>11</v>
      </c>
      <c r="D123" s="3">
        <v>13</v>
      </c>
      <c r="E123" s="3">
        <v>24</v>
      </c>
    </row>
    <row r="124" spans="2:5" x14ac:dyDescent="0.2">
      <c r="B124" s="5">
        <v>54</v>
      </c>
      <c r="C124" s="3">
        <v>5</v>
      </c>
      <c r="D124" s="3">
        <v>11</v>
      </c>
      <c r="E124" s="3">
        <v>16</v>
      </c>
    </row>
    <row r="125" spans="2:5" x14ac:dyDescent="0.2">
      <c r="B125" s="5">
        <v>55</v>
      </c>
      <c r="C125" s="3">
        <v>13</v>
      </c>
      <c r="D125" s="3">
        <v>5</v>
      </c>
      <c r="E125" s="3">
        <v>18</v>
      </c>
    </row>
    <row r="126" spans="2:5" x14ac:dyDescent="0.2">
      <c r="B126" s="5">
        <v>56</v>
      </c>
      <c r="C126" s="3">
        <v>13</v>
      </c>
      <c r="D126" s="3">
        <v>3</v>
      </c>
      <c r="E126" s="3">
        <v>16</v>
      </c>
    </row>
    <row r="127" spans="2:5" x14ac:dyDescent="0.2">
      <c r="B127" s="5">
        <v>57</v>
      </c>
      <c r="C127" s="3">
        <v>4</v>
      </c>
      <c r="D127" s="3">
        <v>4</v>
      </c>
      <c r="E127" s="3">
        <v>8</v>
      </c>
    </row>
    <row r="128" spans="2:5" x14ac:dyDescent="0.2">
      <c r="B128" s="5">
        <v>58</v>
      </c>
      <c r="C128" s="3">
        <v>8</v>
      </c>
      <c r="D128" s="3">
        <v>4</v>
      </c>
      <c r="E128" s="3">
        <v>12</v>
      </c>
    </row>
    <row r="129" spans="2:5" x14ac:dyDescent="0.2">
      <c r="B129" s="5">
        <v>59</v>
      </c>
      <c r="C129" s="3">
        <v>14</v>
      </c>
      <c r="D129" s="3">
        <v>6</v>
      </c>
      <c r="E129" s="3">
        <v>20</v>
      </c>
    </row>
    <row r="130" spans="2:5" x14ac:dyDescent="0.2">
      <c r="B130" s="5">
        <v>60</v>
      </c>
      <c r="C130" s="3">
        <v>8</v>
      </c>
      <c r="D130" s="3">
        <v>7</v>
      </c>
      <c r="E130" s="3">
        <v>15</v>
      </c>
    </row>
    <row r="131" spans="2:5" x14ac:dyDescent="0.2">
      <c r="B131" s="5">
        <v>61</v>
      </c>
      <c r="C131" s="3">
        <v>5</v>
      </c>
      <c r="D131" s="3">
        <v>4</v>
      </c>
      <c r="E131" s="3">
        <v>9</v>
      </c>
    </row>
    <row r="132" spans="2:5" x14ac:dyDescent="0.2">
      <c r="B132" s="5">
        <v>62</v>
      </c>
      <c r="C132" s="3">
        <v>9</v>
      </c>
      <c r="D132" s="3">
        <v>4</v>
      </c>
      <c r="E132" s="3">
        <v>13</v>
      </c>
    </row>
    <row r="133" spans="2:5" x14ac:dyDescent="0.2">
      <c r="B133" s="5">
        <v>63</v>
      </c>
      <c r="C133" s="3">
        <v>7</v>
      </c>
      <c r="D133" s="3">
        <v>2</v>
      </c>
      <c r="E133" s="3">
        <v>9</v>
      </c>
    </row>
    <row r="134" spans="2:5" x14ac:dyDescent="0.2">
      <c r="B134" s="5">
        <v>64</v>
      </c>
      <c r="C134" s="3">
        <v>7</v>
      </c>
      <c r="D134" s="3">
        <v>3</v>
      </c>
      <c r="E134" s="3">
        <v>10</v>
      </c>
    </row>
    <row r="135" spans="2:5" x14ac:dyDescent="0.2">
      <c r="B135" s="5">
        <v>65</v>
      </c>
      <c r="C135" s="3">
        <v>6</v>
      </c>
      <c r="D135" s="3">
        <v>3</v>
      </c>
      <c r="E135" s="3">
        <v>9</v>
      </c>
    </row>
    <row r="136" spans="2:5" x14ac:dyDescent="0.2">
      <c r="B136" s="5">
        <v>66</v>
      </c>
      <c r="C136" s="3">
        <v>8</v>
      </c>
      <c r="D136" s="3">
        <v>6</v>
      </c>
      <c r="E136" s="3">
        <v>14</v>
      </c>
    </row>
    <row r="137" spans="2:5" x14ac:dyDescent="0.2">
      <c r="B137" s="5">
        <v>67</v>
      </c>
      <c r="C137" s="3">
        <v>8</v>
      </c>
      <c r="D137" s="3">
        <v>2</v>
      </c>
      <c r="E137" s="3">
        <v>10</v>
      </c>
    </row>
    <row r="138" spans="2:5" x14ac:dyDescent="0.2">
      <c r="B138" s="5">
        <v>68</v>
      </c>
      <c r="C138" s="3">
        <v>3</v>
      </c>
      <c r="D138" s="3"/>
      <c r="E138" s="3">
        <v>3</v>
      </c>
    </row>
    <row r="139" spans="2:5" x14ac:dyDescent="0.2">
      <c r="B139" s="5">
        <v>69</v>
      </c>
      <c r="C139" s="3">
        <v>8</v>
      </c>
      <c r="D139" s="3"/>
      <c r="E139" s="3">
        <v>8</v>
      </c>
    </row>
    <row r="140" spans="2:5" x14ac:dyDescent="0.2">
      <c r="B140" s="5">
        <v>70</v>
      </c>
      <c r="C140" s="3">
        <v>3</v>
      </c>
      <c r="D140" s="3">
        <v>1</v>
      </c>
      <c r="E140" s="3">
        <v>4</v>
      </c>
    </row>
    <row r="141" spans="2:5" x14ac:dyDescent="0.2">
      <c r="B141" s="5">
        <v>71</v>
      </c>
      <c r="C141" s="3">
        <v>1</v>
      </c>
      <c r="D141" s="3"/>
      <c r="E141" s="3">
        <v>1</v>
      </c>
    </row>
    <row r="142" spans="2:5" x14ac:dyDescent="0.2">
      <c r="B142" s="5">
        <v>72</v>
      </c>
      <c r="C142" s="3"/>
      <c r="D142" s="3">
        <v>1</v>
      </c>
      <c r="E142" s="3">
        <v>1</v>
      </c>
    </row>
    <row r="143" spans="2:5" x14ac:dyDescent="0.2">
      <c r="B143" s="5">
        <v>73</v>
      </c>
      <c r="C143" s="3">
        <v>2</v>
      </c>
      <c r="D143" s="3">
        <v>2</v>
      </c>
      <c r="E143" s="3">
        <v>4</v>
      </c>
    </row>
    <row r="144" spans="2:5" x14ac:dyDescent="0.2">
      <c r="B144" s="5">
        <v>74</v>
      </c>
      <c r="C144" s="3"/>
      <c r="D144" s="3">
        <v>1</v>
      </c>
      <c r="E144" s="3">
        <v>1</v>
      </c>
    </row>
    <row r="145" spans="2:5" x14ac:dyDescent="0.2">
      <c r="B145" s="5">
        <v>78</v>
      </c>
      <c r="C145" s="3">
        <v>1</v>
      </c>
      <c r="D145" s="3">
        <v>1</v>
      </c>
      <c r="E145" s="3">
        <v>2</v>
      </c>
    </row>
    <row r="146" spans="2:5" x14ac:dyDescent="0.2">
      <c r="B146" s="5">
        <v>80</v>
      </c>
      <c r="C146" s="3">
        <v>1</v>
      </c>
      <c r="D146" s="3"/>
      <c r="E146" s="3">
        <v>1</v>
      </c>
    </row>
    <row r="147" spans="2:5" x14ac:dyDescent="0.2">
      <c r="B147" s="5">
        <v>89</v>
      </c>
      <c r="C147" s="3">
        <v>1</v>
      </c>
      <c r="D147" s="3"/>
      <c r="E147" s="3">
        <v>1</v>
      </c>
    </row>
    <row r="148" spans="2:5" x14ac:dyDescent="0.2">
      <c r="B148" s="5" t="s">
        <v>42</v>
      </c>
      <c r="C148" s="3">
        <v>519</v>
      </c>
      <c r="D148" s="3">
        <v>481</v>
      </c>
      <c r="E148"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9EEE9-8DCB-9942-A4D7-F50F6046AF93}">
  <dimension ref="A1:N1001"/>
  <sheetViews>
    <sheetView workbookViewId="0">
      <selection activeCell="B15" sqref="B15"/>
    </sheetView>
  </sheetViews>
  <sheetFormatPr baseColWidth="10" defaultColWidth="21.5" defaultRowHeight="15" x14ac:dyDescent="0.2"/>
  <sheetData>
    <row r="1" spans="1:14" x14ac:dyDescent="0.2">
      <c r="A1" t="s">
        <v>0</v>
      </c>
      <c r="B1" t="s">
        <v>1</v>
      </c>
      <c r="C1" t="s">
        <v>2</v>
      </c>
      <c r="D1" t="s">
        <v>3</v>
      </c>
      <c r="E1" t="s">
        <v>4</v>
      </c>
      <c r="F1" t="s">
        <v>5</v>
      </c>
      <c r="G1" t="s">
        <v>6</v>
      </c>
      <c r="H1" t="s">
        <v>7</v>
      </c>
      <c r="I1" t="s">
        <v>8</v>
      </c>
      <c r="J1" t="s">
        <v>9</v>
      </c>
      <c r="K1" t="s">
        <v>10</v>
      </c>
      <c r="L1" t="s">
        <v>11</v>
      </c>
      <c r="M1" t="s">
        <v>40</v>
      </c>
      <c r="N1" t="s">
        <v>12</v>
      </c>
    </row>
    <row r="2" spans="1:14" x14ac:dyDescent="0.2">
      <c r="A2">
        <v>12496</v>
      </c>
      <c r="B2" t="s">
        <v>36</v>
      </c>
      <c r="C2" t="s">
        <v>39</v>
      </c>
      <c r="D2" s="1">
        <v>40000</v>
      </c>
      <c r="E2">
        <v>1</v>
      </c>
      <c r="F2" t="s">
        <v>13</v>
      </c>
      <c r="G2" t="s">
        <v>14</v>
      </c>
      <c r="H2" t="s">
        <v>15</v>
      </c>
      <c r="I2">
        <v>0</v>
      </c>
      <c r="J2" t="s">
        <v>16</v>
      </c>
      <c r="K2" t="s">
        <v>17</v>
      </c>
      <c r="L2">
        <v>42</v>
      </c>
      <c r="M2" t="str">
        <f>IF(L2&gt;54, "Old", IF(L2&gt;=31, "Middle Age", IF(L2&lt;31,"Adolescent","Invalid")))</f>
        <v>Middle Age</v>
      </c>
      <c r="N2" t="s">
        <v>18</v>
      </c>
    </row>
    <row r="3" spans="1:14" x14ac:dyDescent="0.2">
      <c r="A3">
        <v>24107</v>
      </c>
      <c r="B3" t="s">
        <v>36</v>
      </c>
      <c r="C3" t="s">
        <v>38</v>
      </c>
      <c r="D3" s="1">
        <v>30000</v>
      </c>
      <c r="E3">
        <v>3</v>
      </c>
      <c r="F3" t="s">
        <v>19</v>
      </c>
      <c r="G3" t="s">
        <v>20</v>
      </c>
      <c r="H3" t="s">
        <v>15</v>
      </c>
      <c r="I3">
        <v>1</v>
      </c>
      <c r="J3" t="s">
        <v>16</v>
      </c>
      <c r="K3" t="s">
        <v>17</v>
      </c>
      <c r="L3">
        <v>43</v>
      </c>
      <c r="M3" t="str">
        <f t="shared" ref="M3:M66" si="0">IF(L3&gt;54, "Old", IF(L5&gt;=31, "Middle Age", IF(L5&lt;31,"Adolescent","Invalid")))</f>
        <v>Middle Age</v>
      </c>
      <c r="N3" t="s">
        <v>18</v>
      </c>
    </row>
    <row r="4" spans="1:14" x14ac:dyDescent="0.2">
      <c r="A4">
        <v>14177</v>
      </c>
      <c r="B4" t="s">
        <v>36</v>
      </c>
      <c r="C4" t="s">
        <v>38</v>
      </c>
      <c r="D4" s="1">
        <v>80000</v>
      </c>
      <c r="E4">
        <v>5</v>
      </c>
      <c r="F4" t="s">
        <v>19</v>
      </c>
      <c r="G4" t="s">
        <v>21</v>
      </c>
      <c r="H4" t="s">
        <v>18</v>
      </c>
      <c r="I4">
        <v>2</v>
      </c>
      <c r="J4" t="s">
        <v>22</v>
      </c>
      <c r="K4" t="s">
        <v>17</v>
      </c>
      <c r="L4">
        <v>60</v>
      </c>
      <c r="M4" t="str">
        <f t="shared" si="0"/>
        <v>Old</v>
      </c>
      <c r="N4" t="s">
        <v>18</v>
      </c>
    </row>
    <row r="5" spans="1:14" x14ac:dyDescent="0.2">
      <c r="A5">
        <v>24381</v>
      </c>
      <c r="B5" t="s">
        <v>37</v>
      </c>
      <c r="C5" t="s">
        <v>38</v>
      </c>
      <c r="D5" s="1">
        <v>70000</v>
      </c>
      <c r="E5">
        <v>0</v>
      </c>
      <c r="F5" t="s">
        <v>13</v>
      </c>
      <c r="G5" t="s">
        <v>21</v>
      </c>
      <c r="H5" t="s">
        <v>15</v>
      </c>
      <c r="I5">
        <v>1</v>
      </c>
      <c r="J5" t="s">
        <v>23</v>
      </c>
      <c r="K5" t="s">
        <v>24</v>
      </c>
      <c r="L5">
        <v>41</v>
      </c>
      <c r="M5" t="str">
        <f t="shared" si="0"/>
        <v>Middle Age</v>
      </c>
      <c r="N5" t="s">
        <v>15</v>
      </c>
    </row>
    <row r="6" spans="1:14" x14ac:dyDescent="0.2">
      <c r="A6">
        <v>25597</v>
      </c>
      <c r="B6" t="s">
        <v>37</v>
      </c>
      <c r="C6" t="s">
        <v>38</v>
      </c>
      <c r="D6" s="1">
        <v>30000</v>
      </c>
      <c r="E6">
        <v>0</v>
      </c>
      <c r="F6" t="s">
        <v>13</v>
      </c>
      <c r="G6" t="s">
        <v>20</v>
      </c>
      <c r="H6" t="s">
        <v>18</v>
      </c>
      <c r="I6">
        <v>0</v>
      </c>
      <c r="J6" t="s">
        <v>16</v>
      </c>
      <c r="K6" t="s">
        <v>17</v>
      </c>
      <c r="L6">
        <v>36</v>
      </c>
      <c r="M6" t="str">
        <f t="shared" si="0"/>
        <v>Middle Age</v>
      </c>
      <c r="N6" t="s">
        <v>15</v>
      </c>
    </row>
    <row r="7" spans="1:14" x14ac:dyDescent="0.2">
      <c r="A7">
        <v>13507</v>
      </c>
      <c r="B7" t="s">
        <v>36</v>
      </c>
      <c r="C7" t="s">
        <v>39</v>
      </c>
      <c r="D7" s="1">
        <v>10000</v>
      </c>
      <c r="E7">
        <v>2</v>
      </c>
      <c r="F7" t="s">
        <v>19</v>
      </c>
      <c r="G7" t="s">
        <v>25</v>
      </c>
      <c r="H7" t="s">
        <v>15</v>
      </c>
      <c r="I7">
        <v>0</v>
      </c>
      <c r="J7" t="s">
        <v>26</v>
      </c>
      <c r="K7" t="s">
        <v>17</v>
      </c>
      <c r="L7">
        <v>50</v>
      </c>
      <c r="M7" t="str">
        <f t="shared" si="0"/>
        <v>Middle Age</v>
      </c>
      <c r="N7" t="s">
        <v>18</v>
      </c>
    </row>
    <row r="8" spans="1:14" x14ac:dyDescent="0.2">
      <c r="A8">
        <v>27974</v>
      </c>
      <c r="B8" t="s">
        <v>37</v>
      </c>
      <c r="C8" t="s">
        <v>38</v>
      </c>
      <c r="D8" s="1">
        <v>160000</v>
      </c>
      <c r="E8">
        <v>2</v>
      </c>
      <c r="F8" t="s">
        <v>27</v>
      </c>
      <c r="G8" t="s">
        <v>28</v>
      </c>
      <c r="H8" t="s">
        <v>15</v>
      </c>
      <c r="I8">
        <v>4</v>
      </c>
      <c r="J8" t="s">
        <v>16</v>
      </c>
      <c r="K8" t="s">
        <v>24</v>
      </c>
      <c r="L8">
        <v>33</v>
      </c>
      <c r="M8" t="str">
        <f t="shared" si="0"/>
        <v>Middle Age</v>
      </c>
      <c r="N8" t="s">
        <v>15</v>
      </c>
    </row>
    <row r="9" spans="1:14" x14ac:dyDescent="0.2">
      <c r="A9">
        <v>19364</v>
      </c>
      <c r="B9" t="s">
        <v>36</v>
      </c>
      <c r="C9" t="s">
        <v>38</v>
      </c>
      <c r="D9" s="1">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1">
        <v>40000</v>
      </c>
      <c r="E26">
        <v>2</v>
      </c>
      <c r="F26" t="s">
        <v>19</v>
      </c>
      <c r="G26" t="s">
        <v>20</v>
      </c>
      <c r="H26" t="s">
        <v>18</v>
      </c>
      <c r="I26">
        <v>1</v>
      </c>
      <c r="J26" t="s">
        <v>16</v>
      </c>
      <c r="K26" t="s">
        <v>17</v>
      </c>
      <c r="L26">
        <v>34</v>
      </c>
      <c r="M26" t="str">
        <f t="shared" si="0"/>
        <v>Adolescent</v>
      </c>
      <c r="N26" t="s">
        <v>18</v>
      </c>
    </row>
    <row r="27" spans="1:14" x14ac:dyDescent="0.2">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1">
        <v>30000</v>
      </c>
      <c r="E28">
        <v>0</v>
      </c>
      <c r="F28" t="s">
        <v>19</v>
      </c>
      <c r="G28" t="s">
        <v>20</v>
      </c>
      <c r="H28" t="s">
        <v>18</v>
      </c>
      <c r="I28">
        <v>1</v>
      </c>
      <c r="J28" t="s">
        <v>16</v>
      </c>
      <c r="K28" t="s">
        <v>17</v>
      </c>
      <c r="L28">
        <v>29</v>
      </c>
      <c r="M28" t="str">
        <f t="shared" si="0"/>
        <v>Middle Age</v>
      </c>
      <c r="N28" t="s">
        <v>15</v>
      </c>
    </row>
    <row r="29" spans="1:14" x14ac:dyDescent="0.2">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1">
        <v>20000</v>
      </c>
      <c r="E31">
        <v>0</v>
      </c>
      <c r="F31" t="s">
        <v>29</v>
      </c>
      <c r="G31" t="s">
        <v>25</v>
      </c>
      <c r="H31" t="s">
        <v>18</v>
      </c>
      <c r="I31">
        <v>2</v>
      </c>
      <c r="J31" t="s">
        <v>16</v>
      </c>
      <c r="K31" t="s">
        <v>17</v>
      </c>
      <c r="L31">
        <v>32</v>
      </c>
      <c r="M31" t="str">
        <f t="shared" si="0"/>
        <v>Adolescent</v>
      </c>
      <c r="N31" t="s">
        <v>15</v>
      </c>
    </row>
    <row r="32" spans="1:14" x14ac:dyDescent="0.2">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1">
        <v>10000</v>
      </c>
      <c r="E33">
        <v>0</v>
      </c>
      <c r="F33" t="s">
        <v>19</v>
      </c>
      <c r="G33" t="s">
        <v>25</v>
      </c>
      <c r="H33" t="s">
        <v>18</v>
      </c>
      <c r="I33">
        <v>1</v>
      </c>
      <c r="J33" t="s">
        <v>16</v>
      </c>
      <c r="K33" t="s">
        <v>24</v>
      </c>
      <c r="L33">
        <v>26</v>
      </c>
      <c r="M33" t="str">
        <f t="shared" si="0"/>
        <v>Middle Age</v>
      </c>
      <c r="N33" t="s">
        <v>15</v>
      </c>
    </row>
    <row r="34" spans="1:14" x14ac:dyDescent="0.2">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1">
        <v>10000</v>
      </c>
      <c r="E37">
        <v>5</v>
      </c>
      <c r="F37" t="s">
        <v>29</v>
      </c>
      <c r="G37" t="s">
        <v>25</v>
      </c>
      <c r="H37" t="s">
        <v>18</v>
      </c>
      <c r="I37">
        <v>2</v>
      </c>
      <c r="J37" t="s">
        <v>16</v>
      </c>
      <c r="K37" t="s">
        <v>17</v>
      </c>
      <c r="L37">
        <v>41</v>
      </c>
      <c r="M37" t="str">
        <f t="shared" si="0"/>
        <v>Adolescent</v>
      </c>
      <c r="N37" t="s">
        <v>18</v>
      </c>
    </row>
    <row r="38" spans="1:14" x14ac:dyDescent="0.2">
      <c r="A38">
        <v>17891</v>
      </c>
      <c r="B38" t="s">
        <v>36</v>
      </c>
      <c r="C38" t="s">
        <v>39</v>
      </c>
      <c r="D38" s="1">
        <v>10000</v>
      </c>
      <c r="E38">
        <v>2</v>
      </c>
      <c r="F38" t="s">
        <v>19</v>
      </c>
      <c r="G38" t="s">
        <v>25</v>
      </c>
      <c r="H38" t="s">
        <v>15</v>
      </c>
      <c r="I38">
        <v>1</v>
      </c>
      <c r="J38" t="s">
        <v>16</v>
      </c>
      <c r="K38" t="s">
        <v>17</v>
      </c>
      <c r="L38">
        <v>50</v>
      </c>
      <c r="M38" t="str">
        <f t="shared" si="0"/>
        <v>Adolescent</v>
      </c>
      <c r="N38" t="s">
        <v>15</v>
      </c>
    </row>
    <row r="39" spans="1:14" x14ac:dyDescent="0.2">
      <c r="A39">
        <v>27832</v>
      </c>
      <c r="B39" t="s">
        <v>37</v>
      </c>
      <c r="C39" t="s">
        <v>39</v>
      </c>
      <c r="D39" s="1">
        <v>30000</v>
      </c>
      <c r="E39">
        <v>0</v>
      </c>
      <c r="F39" t="s">
        <v>19</v>
      </c>
      <c r="G39" t="s">
        <v>20</v>
      </c>
      <c r="H39" t="s">
        <v>18</v>
      </c>
      <c r="I39">
        <v>1</v>
      </c>
      <c r="J39" t="s">
        <v>22</v>
      </c>
      <c r="K39" t="s">
        <v>17</v>
      </c>
      <c r="L39">
        <v>30</v>
      </c>
      <c r="M39" t="str">
        <f t="shared" si="0"/>
        <v>Middle Age</v>
      </c>
      <c r="N39" t="s">
        <v>18</v>
      </c>
    </row>
    <row r="40" spans="1:14" x14ac:dyDescent="0.2">
      <c r="A40">
        <v>26863</v>
      </c>
      <c r="B40" t="s">
        <v>37</v>
      </c>
      <c r="C40" t="s">
        <v>38</v>
      </c>
      <c r="D40" s="1">
        <v>20000</v>
      </c>
      <c r="E40">
        <v>0</v>
      </c>
      <c r="F40" t="s">
        <v>27</v>
      </c>
      <c r="G40" t="s">
        <v>25</v>
      </c>
      <c r="H40" t="s">
        <v>18</v>
      </c>
      <c r="I40">
        <v>1</v>
      </c>
      <c r="J40" t="s">
        <v>22</v>
      </c>
      <c r="K40" t="s">
        <v>17</v>
      </c>
      <c r="L40">
        <v>28</v>
      </c>
      <c r="M40" t="str">
        <f t="shared" si="0"/>
        <v>Middle Age</v>
      </c>
      <c r="N40" t="s">
        <v>18</v>
      </c>
    </row>
    <row r="41" spans="1:14" x14ac:dyDescent="0.2">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1">
        <v>30000</v>
      </c>
      <c r="E50">
        <v>2</v>
      </c>
      <c r="F50" t="s">
        <v>19</v>
      </c>
      <c r="G50" t="s">
        <v>20</v>
      </c>
      <c r="H50" t="s">
        <v>18</v>
      </c>
      <c r="I50">
        <v>2</v>
      </c>
      <c r="J50" t="s">
        <v>16</v>
      </c>
      <c r="K50" t="s">
        <v>17</v>
      </c>
      <c r="L50">
        <v>42</v>
      </c>
      <c r="M50" t="str">
        <f t="shared" si="0"/>
        <v>Adolescent</v>
      </c>
      <c r="N50" t="s">
        <v>18</v>
      </c>
    </row>
    <row r="51" spans="1:14" x14ac:dyDescent="0.2">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1">
        <v>30000</v>
      </c>
      <c r="E52">
        <v>0</v>
      </c>
      <c r="F52" t="s">
        <v>19</v>
      </c>
      <c r="G52" t="s">
        <v>20</v>
      </c>
      <c r="H52" t="s">
        <v>18</v>
      </c>
      <c r="I52">
        <v>1</v>
      </c>
      <c r="J52" t="s">
        <v>16</v>
      </c>
      <c r="K52" t="s">
        <v>17</v>
      </c>
      <c r="L52">
        <v>28</v>
      </c>
      <c r="M52" t="str">
        <f t="shared" si="0"/>
        <v>Middle Age</v>
      </c>
      <c r="N52" t="s">
        <v>18</v>
      </c>
    </row>
    <row r="53" spans="1:14" x14ac:dyDescent="0.2">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1">
        <v>30000</v>
      </c>
      <c r="E67">
        <v>2</v>
      </c>
      <c r="F67" t="s">
        <v>19</v>
      </c>
      <c r="G67" t="s">
        <v>20</v>
      </c>
      <c r="H67" t="s">
        <v>15</v>
      </c>
      <c r="I67">
        <v>2</v>
      </c>
      <c r="J67" t="s">
        <v>23</v>
      </c>
      <c r="K67" t="s">
        <v>24</v>
      </c>
      <c r="L67">
        <v>68</v>
      </c>
      <c r="M67" t="str">
        <f t="shared" ref="M67:M130" si="1">IF(L67&gt;54, "Old", IF(L69&gt;=31, "Middle Age", IF(L69&lt;31,"Adolescent","Invalid")))</f>
        <v>Old</v>
      </c>
      <c r="N67" t="s">
        <v>18</v>
      </c>
    </row>
    <row r="68" spans="1:14" x14ac:dyDescent="0.2">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1">
        <v>30000</v>
      </c>
      <c r="E69">
        <v>0</v>
      </c>
      <c r="F69" t="s">
        <v>27</v>
      </c>
      <c r="G69" t="s">
        <v>25</v>
      </c>
      <c r="H69" t="s">
        <v>15</v>
      </c>
      <c r="I69">
        <v>1</v>
      </c>
      <c r="J69" t="s">
        <v>22</v>
      </c>
      <c r="K69" t="s">
        <v>17</v>
      </c>
      <c r="L69">
        <v>33</v>
      </c>
      <c r="M69" t="str">
        <f t="shared" si="1"/>
        <v>Adolescent</v>
      </c>
      <c r="N69" t="s">
        <v>15</v>
      </c>
    </row>
    <row r="70" spans="1:14" x14ac:dyDescent="0.2">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1">
        <v>10000</v>
      </c>
      <c r="E71">
        <v>0</v>
      </c>
      <c r="F71" t="s">
        <v>29</v>
      </c>
      <c r="G71" t="s">
        <v>25</v>
      </c>
      <c r="H71" t="s">
        <v>18</v>
      </c>
      <c r="I71">
        <v>2</v>
      </c>
      <c r="J71" t="s">
        <v>16</v>
      </c>
      <c r="K71" t="s">
        <v>17</v>
      </c>
      <c r="L71">
        <v>30</v>
      </c>
      <c r="M71" t="str">
        <f t="shared" si="1"/>
        <v>Middle Age</v>
      </c>
      <c r="N71" t="s">
        <v>18</v>
      </c>
    </row>
    <row r="72" spans="1:14" x14ac:dyDescent="0.2">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1">
        <v>130000</v>
      </c>
      <c r="E77">
        <v>4</v>
      </c>
      <c r="F77" t="s">
        <v>27</v>
      </c>
      <c r="G77" t="s">
        <v>28</v>
      </c>
      <c r="H77" t="s">
        <v>15</v>
      </c>
      <c r="I77">
        <v>4</v>
      </c>
      <c r="J77" t="s">
        <v>16</v>
      </c>
      <c r="K77" t="s">
        <v>24</v>
      </c>
      <c r="L77">
        <v>31</v>
      </c>
      <c r="M77" t="str">
        <f t="shared" si="1"/>
        <v>Adolescent</v>
      </c>
      <c r="N77" t="s">
        <v>18</v>
      </c>
    </row>
    <row r="78" spans="1:14" x14ac:dyDescent="0.2">
      <c r="A78">
        <v>16188</v>
      </c>
      <c r="B78" t="s">
        <v>37</v>
      </c>
      <c r="C78" t="s">
        <v>39</v>
      </c>
      <c r="D78" s="1">
        <v>20000</v>
      </c>
      <c r="E78">
        <v>0</v>
      </c>
      <c r="F78" t="s">
        <v>29</v>
      </c>
      <c r="G78" t="s">
        <v>25</v>
      </c>
      <c r="H78" t="s">
        <v>18</v>
      </c>
      <c r="I78">
        <v>2</v>
      </c>
      <c r="J78" t="s">
        <v>26</v>
      </c>
      <c r="K78" t="s">
        <v>17</v>
      </c>
      <c r="L78">
        <v>26</v>
      </c>
      <c r="M78" t="str">
        <f t="shared" si="1"/>
        <v>Middle Age</v>
      </c>
      <c r="N78" t="s">
        <v>18</v>
      </c>
    </row>
    <row r="79" spans="1:14" x14ac:dyDescent="0.2">
      <c r="A79">
        <v>27969</v>
      </c>
      <c r="B79" t="s">
        <v>36</v>
      </c>
      <c r="C79" t="s">
        <v>38</v>
      </c>
      <c r="D79" s="1">
        <v>80000</v>
      </c>
      <c r="E79">
        <v>0</v>
      </c>
      <c r="F79" t="s">
        <v>13</v>
      </c>
      <c r="G79" t="s">
        <v>21</v>
      </c>
      <c r="H79" t="s">
        <v>15</v>
      </c>
      <c r="I79">
        <v>2</v>
      </c>
      <c r="J79" t="s">
        <v>46</v>
      </c>
      <c r="K79" t="s">
        <v>24</v>
      </c>
      <c r="L79">
        <v>29</v>
      </c>
      <c r="M79" t="str">
        <f t="shared" si="1"/>
        <v>Middle Age</v>
      </c>
      <c r="N79" t="s">
        <v>15</v>
      </c>
    </row>
    <row r="80" spans="1:14" x14ac:dyDescent="0.2">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1">
        <v>10000</v>
      </c>
      <c r="E83">
        <v>4</v>
      </c>
      <c r="F83" t="s">
        <v>29</v>
      </c>
      <c r="G83" t="s">
        <v>25</v>
      </c>
      <c r="H83" t="s">
        <v>15</v>
      </c>
      <c r="I83">
        <v>2</v>
      </c>
      <c r="J83" t="s">
        <v>16</v>
      </c>
      <c r="K83" t="s">
        <v>17</v>
      </c>
      <c r="L83">
        <v>40</v>
      </c>
      <c r="M83" t="str">
        <f t="shared" si="1"/>
        <v>Adolescent</v>
      </c>
      <c r="N83" t="s">
        <v>18</v>
      </c>
    </row>
    <row r="84" spans="1:14" x14ac:dyDescent="0.2">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1">
        <v>10000</v>
      </c>
      <c r="E87">
        <v>0</v>
      </c>
      <c r="F87" t="s">
        <v>19</v>
      </c>
      <c r="G87" t="s">
        <v>25</v>
      </c>
      <c r="H87" t="s">
        <v>15</v>
      </c>
      <c r="I87">
        <v>1</v>
      </c>
      <c r="J87" t="s">
        <v>26</v>
      </c>
      <c r="K87" t="s">
        <v>24</v>
      </c>
      <c r="L87">
        <v>26</v>
      </c>
      <c r="M87" t="str">
        <f t="shared" si="1"/>
        <v>Middle Age</v>
      </c>
      <c r="N87" t="s">
        <v>15</v>
      </c>
    </row>
    <row r="88" spans="1:14" x14ac:dyDescent="0.2">
      <c r="A88">
        <v>17191</v>
      </c>
      <c r="B88" t="s">
        <v>37</v>
      </c>
      <c r="C88" t="s">
        <v>38</v>
      </c>
      <c r="D88" s="1">
        <v>130000</v>
      </c>
      <c r="E88">
        <v>3</v>
      </c>
      <c r="F88" t="s">
        <v>19</v>
      </c>
      <c r="G88" t="s">
        <v>21</v>
      </c>
      <c r="H88" t="s">
        <v>18</v>
      </c>
      <c r="I88">
        <v>3</v>
      </c>
      <c r="J88" t="s">
        <v>16</v>
      </c>
      <c r="K88" t="s">
        <v>17</v>
      </c>
      <c r="L88">
        <v>51</v>
      </c>
      <c r="M88" t="str">
        <f t="shared" si="1"/>
        <v>Adolescent</v>
      </c>
      <c r="N88" t="s">
        <v>15</v>
      </c>
    </row>
    <row r="89" spans="1:14" x14ac:dyDescent="0.2">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1">
        <v>20000</v>
      </c>
      <c r="E91">
        <v>1</v>
      </c>
      <c r="F91" t="s">
        <v>27</v>
      </c>
      <c r="G91" t="s">
        <v>25</v>
      </c>
      <c r="H91" t="s">
        <v>18</v>
      </c>
      <c r="I91">
        <v>1</v>
      </c>
      <c r="J91" t="s">
        <v>26</v>
      </c>
      <c r="K91" t="s">
        <v>17</v>
      </c>
      <c r="L91">
        <v>40</v>
      </c>
      <c r="M91" t="str">
        <f t="shared" si="1"/>
        <v>Adolescent</v>
      </c>
      <c r="N91" t="s">
        <v>15</v>
      </c>
    </row>
    <row r="92" spans="1:14" x14ac:dyDescent="0.2">
      <c r="A92">
        <v>26886</v>
      </c>
      <c r="B92" t="s">
        <v>37</v>
      </c>
      <c r="C92" t="s">
        <v>39</v>
      </c>
      <c r="D92" s="1">
        <v>30000</v>
      </c>
      <c r="E92">
        <v>0</v>
      </c>
      <c r="F92" t="s">
        <v>19</v>
      </c>
      <c r="G92" t="s">
        <v>20</v>
      </c>
      <c r="H92" t="s">
        <v>18</v>
      </c>
      <c r="I92">
        <v>1</v>
      </c>
      <c r="J92" t="s">
        <v>16</v>
      </c>
      <c r="K92" t="s">
        <v>17</v>
      </c>
      <c r="L92">
        <v>29</v>
      </c>
      <c r="M92" t="str">
        <f t="shared" si="1"/>
        <v>Middle Age</v>
      </c>
      <c r="N92" t="s">
        <v>15</v>
      </c>
    </row>
    <row r="93" spans="1:14" x14ac:dyDescent="0.2">
      <c r="A93">
        <v>28436</v>
      </c>
      <c r="B93" t="s">
        <v>37</v>
      </c>
      <c r="C93" t="s">
        <v>38</v>
      </c>
      <c r="D93" s="1">
        <v>30000</v>
      </c>
      <c r="E93">
        <v>0</v>
      </c>
      <c r="F93" t="s">
        <v>19</v>
      </c>
      <c r="G93" t="s">
        <v>20</v>
      </c>
      <c r="H93" t="s">
        <v>18</v>
      </c>
      <c r="I93">
        <v>1</v>
      </c>
      <c r="J93" t="s">
        <v>16</v>
      </c>
      <c r="K93" t="s">
        <v>17</v>
      </c>
      <c r="L93">
        <v>30</v>
      </c>
      <c r="M93" t="str">
        <f t="shared" si="1"/>
        <v>Middle Age</v>
      </c>
      <c r="N93" t="s">
        <v>15</v>
      </c>
    </row>
    <row r="94" spans="1:14" x14ac:dyDescent="0.2">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1">
        <v>30000</v>
      </c>
      <c r="E98">
        <v>1</v>
      </c>
      <c r="F98" t="s">
        <v>19</v>
      </c>
      <c r="G98" t="s">
        <v>20</v>
      </c>
      <c r="H98" t="s">
        <v>15</v>
      </c>
      <c r="I98">
        <v>1</v>
      </c>
      <c r="J98" t="s">
        <v>16</v>
      </c>
      <c r="K98" t="s">
        <v>17</v>
      </c>
      <c r="L98">
        <v>43</v>
      </c>
      <c r="M98" t="str">
        <f t="shared" si="1"/>
        <v>Adolescent</v>
      </c>
      <c r="N98" t="s">
        <v>18</v>
      </c>
    </row>
    <row r="99" spans="1:14" x14ac:dyDescent="0.2">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1">
        <v>40000</v>
      </c>
      <c r="E100">
        <v>0</v>
      </c>
      <c r="F100" t="s">
        <v>31</v>
      </c>
      <c r="G100" t="s">
        <v>20</v>
      </c>
      <c r="H100" t="s">
        <v>15</v>
      </c>
      <c r="I100">
        <v>0</v>
      </c>
      <c r="J100" t="s">
        <v>16</v>
      </c>
      <c r="K100" t="s">
        <v>17</v>
      </c>
      <c r="L100">
        <v>25</v>
      </c>
      <c r="M100" t="str">
        <f t="shared" si="1"/>
        <v>Middle Age</v>
      </c>
      <c r="N100" t="s">
        <v>15</v>
      </c>
    </row>
    <row r="101" spans="1:14" x14ac:dyDescent="0.2">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1">
        <v>60000</v>
      </c>
      <c r="E105">
        <v>1</v>
      </c>
      <c r="F105" t="s">
        <v>19</v>
      </c>
      <c r="G105" t="s">
        <v>14</v>
      </c>
      <c r="H105" t="s">
        <v>15</v>
      </c>
      <c r="I105">
        <v>1</v>
      </c>
      <c r="J105" t="s">
        <v>23</v>
      </c>
      <c r="K105" t="s">
        <v>24</v>
      </c>
      <c r="L105">
        <v>45</v>
      </c>
      <c r="M105" t="str">
        <f t="shared" si="1"/>
        <v>Adolescent</v>
      </c>
      <c r="N105" t="s">
        <v>18</v>
      </c>
    </row>
    <row r="106" spans="1:14" x14ac:dyDescent="0.2">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1">
        <v>30000</v>
      </c>
      <c r="E107">
        <v>0</v>
      </c>
      <c r="F107" t="s">
        <v>19</v>
      </c>
      <c r="G107" t="s">
        <v>20</v>
      </c>
      <c r="H107" t="s">
        <v>18</v>
      </c>
      <c r="I107">
        <v>1</v>
      </c>
      <c r="J107" t="s">
        <v>22</v>
      </c>
      <c r="K107" t="s">
        <v>17</v>
      </c>
      <c r="L107">
        <v>30</v>
      </c>
      <c r="M107" t="str">
        <f t="shared" si="1"/>
        <v>Middle Age</v>
      </c>
      <c r="N107" t="s">
        <v>18</v>
      </c>
    </row>
    <row r="108" spans="1:14" x14ac:dyDescent="0.2">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1">
        <v>40000</v>
      </c>
      <c r="E114">
        <v>2</v>
      </c>
      <c r="F114" t="s">
        <v>19</v>
      </c>
      <c r="G114" t="s">
        <v>20</v>
      </c>
      <c r="H114" t="s">
        <v>15</v>
      </c>
      <c r="I114">
        <v>2</v>
      </c>
      <c r="J114" t="s">
        <v>26</v>
      </c>
      <c r="K114" t="s">
        <v>17</v>
      </c>
      <c r="L114">
        <v>35</v>
      </c>
      <c r="M114" t="str">
        <f t="shared" si="1"/>
        <v>Adolescent</v>
      </c>
      <c r="N114" t="s">
        <v>18</v>
      </c>
    </row>
    <row r="115" spans="1:14" x14ac:dyDescent="0.2">
      <c r="A115">
        <v>29191</v>
      </c>
      <c r="B115" t="s">
        <v>37</v>
      </c>
      <c r="C115" t="s">
        <v>39</v>
      </c>
      <c r="D115" s="1">
        <v>130000</v>
      </c>
      <c r="E115">
        <v>1</v>
      </c>
      <c r="F115" t="s">
        <v>31</v>
      </c>
      <c r="G115" t="s">
        <v>28</v>
      </c>
      <c r="H115" t="s">
        <v>18</v>
      </c>
      <c r="I115">
        <v>1</v>
      </c>
      <c r="J115" t="s">
        <v>16</v>
      </c>
      <c r="K115" t="s">
        <v>24</v>
      </c>
      <c r="L115">
        <v>36</v>
      </c>
      <c r="M115" t="str">
        <f t="shared" si="1"/>
        <v>Adolescent</v>
      </c>
      <c r="N115" t="s">
        <v>15</v>
      </c>
    </row>
    <row r="116" spans="1:14" x14ac:dyDescent="0.2">
      <c r="A116">
        <v>15030</v>
      </c>
      <c r="B116" t="s">
        <v>36</v>
      </c>
      <c r="C116" t="s">
        <v>38</v>
      </c>
      <c r="D116" s="1">
        <v>20000</v>
      </c>
      <c r="E116">
        <v>0</v>
      </c>
      <c r="F116" t="s">
        <v>13</v>
      </c>
      <c r="G116" t="s">
        <v>20</v>
      </c>
      <c r="H116" t="s">
        <v>15</v>
      </c>
      <c r="I116">
        <v>0</v>
      </c>
      <c r="J116" t="s">
        <v>16</v>
      </c>
      <c r="K116" t="s">
        <v>24</v>
      </c>
      <c r="L116">
        <v>26</v>
      </c>
      <c r="M116" t="str">
        <f t="shared" si="1"/>
        <v>Middle Age</v>
      </c>
      <c r="N116" t="s">
        <v>15</v>
      </c>
    </row>
    <row r="117" spans="1:14" x14ac:dyDescent="0.2">
      <c r="A117">
        <v>24140</v>
      </c>
      <c r="B117" t="s">
        <v>37</v>
      </c>
      <c r="C117" t="s">
        <v>38</v>
      </c>
      <c r="D117" s="1">
        <v>10000</v>
      </c>
      <c r="E117">
        <v>0</v>
      </c>
      <c r="F117" t="s">
        <v>31</v>
      </c>
      <c r="G117" t="s">
        <v>25</v>
      </c>
      <c r="H117" t="s">
        <v>18</v>
      </c>
      <c r="I117">
        <v>0</v>
      </c>
      <c r="J117" t="s">
        <v>16</v>
      </c>
      <c r="K117" t="s">
        <v>17</v>
      </c>
      <c r="L117">
        <v>30</v>
      </c>
      <c r="M117" t="str">
        <f t="shared" si="1"/>
        <v>Middle Age</v>
      </c>
      <c r="N117" t="s">
        <v>15</v>
      </c>
    </row>
    <row r="118" spans="1:14" x14ac:dyDescent="0.2">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1">
        <v>20000</v>
      </c>
      <c r="E119">
        <v>0</v>
      </c>
      <c r="F119" t="s">
        <v>27</v>
      </c>
      <c r="G119" t="s">
        <v>25</v>
      </c>
      <c r="H119" t="s">
        <v>15</v>
      </c>
      <c r="I119">
        <v>0</v>
      </c>
      <c r="J119" t="s">
        <v>16</v>
      </c>
      <c r="K119" t="s">
        <v>17</v>
      </c>
      <c r="L119">
        <v>40</v>
      </c>
      <c r="M119" t="str">
        <f t="shared" si="1"/>
        <v>Adolescent</v>
      </c>
      <c r="N119" t="s">
        <v>15</v>
      </c>
    </row>
    <row r="120" spans="1:14" x14ac:dyDescent="0.2">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1">
        <v>30000</v>
      </c>
      <c r="E121">
        <v>0</v>
      </c>
      <c r="F121" t="s">
        <v>19</v>
      </c>
      <c r="G121" t="s">
        <v>20</v>
      </c>
      <c r="H121" t="s">
        <v>18</v>
      </c>
      <c r="I121">
        <v>1</v>
      </c>
      <c r="J121" t="s">
        <v>22</v>
      </c>
      <c r="K121" t="s">
        <v>17</v>
      </c>
      <c r="L121">
        <v>29</v>
      </c>
      <c r="M121" t="str">
        <f t="shared" si="1"/>
        <v>Middle Age</v>
      </c>
      <c r="N121" t="s">
        <v>18</v>
      </c>
    </row>
    <row r="122" spans="1:14" x14ac:dyDescent="0.2">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1">
        <v>10000</v>
      </c>
      <c r="E131">
        <v>3</v>
      </c>
      <c r="F131" t="s">
        <v>27</v>
      </c>
      <c r="G131" t="s">
        <v>25</v>
      </c>
      <c r="H131" t="s">
        <v>15</v>
      </c>
      <c r="I131">
        <v>1</v>
      </c>
      <c r="J131" t="s">
        <v>16</v>
      </c>
      <c r="K131" t="s">
        <v>17</v>
      </c>
      <c r="L131">
        <v>39</v>
      </c>
      <c r="M131" t="str">
        <f t="shared" ref="M131:M194" si="2">IF(L131&gt;54, "Old", IF(L133&gt;=31, "Middle Age", IF(L133&lt;31,"Adolescent","Invalid")))</f>
        <v>Middle Age</v>
      </c>
      <c r="N131" t="s">
        <v>15</v>
      </c>
    </row>
    <row r="132" spans="1:14" x14ac:dyDescent="0.2">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1">
        <v>10000</v>
      </c>
      <c r="E143">
        <v>0</v>
      </c>
      <c r="F143" t="s">
        <v>19</v>
      </c>
      <c r="G143" t="s">
        <v>25</v>
      </c>
      <c r="H143" t="s">
        <v>18</v>
      </c>
      <c r="I143">
        <v>1</v>
      </c>
      <c r="J143" t="s">
        <v>16</v>
      </c>
      <c r="K143" t="s">
        <v>24</v>
      </c>
      <c r="L143">
        <v>26</v>
      </c>
      <c r="M143" t="str">
        <f t="shared" si="2"/>
        <v>Middle Age</v>
      </c>
      <c r="N143" t="s">
        <v>15</v>
      </c>
    </row>
    <row r="144" spans="1:14" x14ac:dyDescent="0.2">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1">
        <v>40000</v>
      </c>
      <c r="E149">
        <v>0</v>
      </c>
      <c r="F149" t="s">
        <v>13</v>
      </c>
      <c r="G149" t="s">
        <v>21</v>
      </c>
      <c r="H149" t="s">
        <v>18</v>
      </c>
      <c r="I149">
        <v>0</v>
      </c>
      <c r="J149" t="s">
        <v>16</v>
      </c>
      <c r="K149" t="s">
        <v>17</v>
      </c>
      <c r="L149">
        <v>40</v>
      </c>
      <c r="M149" t="str">
        <f t="shared" si="2"/>
        <v>Adolescent</v>
      </c>
      <c r="N149" t="s">
        <v>15</v>
      </c>
    </row>
    <row r="150" spans="1:14" x14ac:dyDescent="0.2">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1">
        <v>30000</v>
      </c>
      <c r="E151">
        <v>0</v>
      </c>
      <c r="F151" t="s">
        <v>19</v>
      </c>
      <c r="G151" t="s">
        <v>20</v>
      </c>
      <c r="H151" t="s">
        <v>18</v>
      </c>
      <c r="I151">
        <v>1</v>
      </c>
      <c r="J151" t="s">
        <v>26</v>
      </c>
      <c r="K151" t="s">
        <v>17</v>
      </c>
      <c r="L151">
        <v>27</v>
      </c>
      <c r="M151" t="str">
        <f t="shared" si="2"/>
        <v>Middle Age</v>
      </c>
      <c r="N151" t="s">
        <v>18</v>
      </c>
    </row>
    <row r="152" spans="1:14" x14ac:dyDescent="0.2">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1">
        <v>60000</v>
      </c>
      <c r="E164">
        <v>2</v>
      </c>
      <c r="F164" t="s">
        <v>13</v>
      </c>
      <c r="G164" t="s">
        <v>21</v>
      </c>
      <c r="H164" t="s">
        <v>18</v>
      </c>
      <c r="I164">
        <v>1</v>
      </c>
      <c r="J164" t="s">
        <v>16</v>
      </c>
      <c r="K164" t="s">
        <v>24</v>
      </c>
      <c r="L164">
        <v>38</v>
      </c>
      <c r="M164" t="str">
        <f t="shared" si="2"/>
        <v>Adolescent</v>
      </c>
      <c r="N164" t="s">
        <v>15</v>
      </c>
    </row>
    <row r="165" spans="1:14" x14ac:dyDescent="0.2">
      <c r="A165">
        <v>24279</v>
      </c>
      <c r="B165" t="s">
        <v>37</v>
      </c>
      <c r="C165" t="s">
        <v>38</v>
      </c>
      <c r="D165" s="1">
        <v>40000</v>
      </c>
      <c r="E165">
        <v>2</v>
      </c>
      <c r="F165" t="s">
        <v>19</v>
      </c>
      <c r="G165" t="s">
        <v>14</v>
      </c>
      <c r="H165" t="s">
        <v>18</v>
      </c>
      <c r="I165">
        <v>2</v>
      </c>
      <c r="J165" t="s">
        <v>26</v>
      </c>
      <c r="K165" t="s">
        <v>24</v>
      </c>
      <c r="L165">
        <v>52</v>
      </c>
      <c r="M165" t="str">
        <f t="shared" si="2"/>
        <v>Adolescent</v>
      </c>
      <c r="N165" t="s">
        <v>18</v>
      </c>
    </row>
    <row r="166" spans="1:14" x14ac:dyDescent="0.2">
      <c r="A166">
        <v>22402</v>
      </c>
      <c r="B166" t="s">
        <v>36</v>
      </c>
      <c r="C166" t="s">
        <v>38</v>
      </c>
      <c r="D166" s="1">
        <v>10000</v>
      </c>
      <c r="E166">
        <v>0</v>
      </c>
      <c r="F166" t="s">
        <v>19</v>
      </c>
      <c r="G166" t="s">
        <v>25</v>
      </c>
      <c r="H166" t="s">
        <v>15</v>
      </c>
      <c r="I166">
        <v>1</v>
      </c>
      <c r="J166" t="s">
        <v>22</v>
      </c>
      <c r="K166" t="s">
        <v>24</v>
      </c>
      <c r="L166">
        <v>25</v>
      </c>
      <c r="M166" t="str">
        <f t="shared" si="2"/>
        <v>Middle Age</v>
      </c>
      <c r="N166" t="s">
        <v>15</v>
      </c>
    </row>
    <row r="167" spans="1:14" x14ac:dyDescent="0.2">
      <c r="A167">
        <v>15465</v>
      </c>
      <c r="B167" t="s">
        <v>36</v>
      </c>
      <c r="C167" t="s">
        <v>39</v>
      </c>
      <c r="D167" s="1">
        <v>10000</v>
      </c>
      <c r="E167">
        <v>0</v>
      </c>
      <c r="F167" t="s">
        <v>19</v>
      </c>
      <c r="G167" t="s">
        <v>25</v>
      </c>
      <c r="H167" t="s">
        <v>18</v>
      </c>
      <c r="I167">
        <v>1</v>
      </c>
      <c r="J167" t="s">
        <v>16</v>
      </c>
      <c r="K167" t="s">
        <v>24</v>
      </c>
      <c r="L167">
        <v>25</v>
      </c>
      <c r="M167" t="str">
        <f t="shared" si="2"/>
        <v>Middle Age</v>
      </c>
      <c r="N167" t="s">
        <v>18</v>
      </c>
    </row>
    <row r="168" spans="1:14" x14ac:dyDescent="0.2">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1">
        <v>10000</v>
      </c>
      <c r="E175">
        <v>0</v>
      </c>
      <c r="F175" t="s">
        <v>19</v>
      </c>
      <c r="G175" t="s">
        <v>25</v>
      </c>
      <c r="H175" t="s">
        <v>15</v>
      </c>
      <c r="I175">
        <v>1</v>
      </c>
      <c r="J175" t="s">
        <v>22</v>
      </c>
      <c r="K175" t="s">
        <v>24</v>
      </c>
      <c r="L175">
        <v>27</v>
      </c>
      <c r="M175" t="str">
        <f t="shared" si="2"/>
        <v>Middle Age</v>
      </c>
      <c r="N175" t="s">
        <v>18</v>
      </c>
    </row>
    <row r="176" spans="1:14" x14ac:dyDescent="0.2">
      <c r="A176">
        <v>19442</v>
      </c>
      <c r="B176" t="s">
        <v>37</v>
      </c>
      <c r="C176" t="s">
        <v>38</v>
      </c>
      <c r="D176" s="1">
        <v>50000</v>
      </c>
      <c r="E176">
        <v>0</v>
      </c>
      <c r="F176" t="s">
        <v>31</v>
      </c>
      <c r="G176" t="s">
        <v>14</v>
      </c>
      <c r="H176" t="s">
        <v>15</v>
      </c>
      <c r="I176">
        <v>0</v>
      </c>
      <c r="J176" t="s">
        <v>16</v>
      </c>
      <c r="K176" t="s">
        <v>17</v>
      </c>
      <c r="L176">
        <v>37</v>
      </c>
      <c r="M176" t="str">
        <f t="shared" si="2"/>
        <v>Adolescent</v>
      </c>
      <c r="N176" t="s">
        <v>15</v>
      </c>
    </row>
    <row r="177" spans="1:14" x14ac:dyDescent="0.2">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1">
        <v>20000</v>
      </c>
      <c r="E178">
        <v>0</v>
      </c>
      <c r="F178" t="s">
        <v>19</v>
      </c>
      <c r="G178" t="s">
        <v>25</v>
      </c>
      <c r="H178" t="s">
        <v>15</v>
      </c>
      <c r="I178">
        <v>0</v>
      </c>
      <c r="J178" t="s">
        <v>16</v>
      </c>
      <c r="K178" t="s">
        <v>24</v>
      </c>
      <c r="L178">
        <v>29</v>
      </c>
      <c r="M178" t="str">
        <f t="shared" si="2"/>
        <v>Middle Age</v>
      </c>
      <c r="N178" t="s">
        <v>15</v>
      </c>
    </row>
    <row r="179" spans="1:14" x14ac:dyDescent="0.2">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39</v>
      </c>
      <c r="D195" s="1">
        <v>70000</v>
      </c>
      <c r="E195">
        <v>5</v>
      </c>
      <c r="F195" t="s">
        <v>13</v>
      </c>
      <c r="G195" t="s">
        <v>21</v>
      </c>
      <c r="H195" t="s">
        <v>15</v>
      </c>
      <c r="I195">
        <v>4</v>
      </c>
      <c r="J195" t="s">
        <v>46</v>
      </c>
      <c r="K195" t="s">
        <v>24</v>
      </c>
      <c r="L195">
        <v>41</v>
      </c>
      <c r="M195" t="str">
        <f t="shared" ref="M195:M258" si="3">IF(L195&gt;54, "Old", IF(L197&gt;=31, "Middle Age", IF(L197&lt;31,"Adolescent","Invalid")))</f>
        <v>Adolescent</v>
      </c>
      <c r="N195" t="s">
        <v>18</v>
      </c>
    </row>
    <row r="196" spans="1:14" x14ac:dyDescent="0.2">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1">
        <v>20000</v>
      </c>
      <c r="E197">
        <v>0</v>
      </c>
      <c r="F197" t="s">
        <v>13</v>
      </c>
      <c r="G197" t="s">
        <v>20</v>
      </c>
      <c r="H197" t="s">
        <v>15</v>
      </c>
      <c r="I197">
        <v>0</v>
      </c>
      <c r="J197" t="s">
        <v>16</v>
      </c>
      <c r="K197" t="s">
        <v>24</v>
      </c>
      <c r="L197">
        <v>25</v>
      </c>
      <c r="M197" t="str">
        <f t="shared" si="3"/>
        <v>Middle Age</v>
      </c>
      <c r="N197" t="s">
        <v>15</v>
      </c>
    </row>
    <row r="198" spans="1:14" x14ac:dyDescent="0.2">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1">
        <v>80000</v>
      </c>
      <c r="E201">
        <v>0</v>
      </c>
      <c r="F201" t="s">
        <v>13</v>
      </c>
      <c r="G201" t="s">
        <v>21</v>
      </c>
      <c r="H201" t="s">
        <v>18</v>
      </c>
      <c r="I201">
        <v>3</v>
      </c>
      <c r="J201" t="s">
        <v>46</v>
      </c>
      <c r="K201" t="s">
        <v>24</v>
      </c>
      <c r="L201">
        <v>33</v>
      </c>
      <c r="M201" t="str">
        <f t="shared" si="3"/>
        <v>Adolescent</v>
      </c>
      <c r="N201" t="s">
        <v>15</v>
      </c>
    </row>
    <row r="202" spans="1:14" x14ac:dyDescent="0.2">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1">
        <v>10000</v>
      </c>
      <c r="E203">
        <v>1</v>
      </c>
      <c r="F203" t="s">
        <v>27</v>
      </c>
      <c r="G203" t="s">
        <v>25</v>
      </c>
      <c r="H203" t="s">
        <v>15</v>
      </c>
      <c r="I203">
        <v>0</v>
      </c>
      <c r="J203" t="s">
        <v>22</v>
      </c>
      <c r="K203" t="s">
        <v>24</v>
      </c>
      <c r="L203">
        <v>27</v>
      </c>
      <c r="M203" t="str">
        <f t="shared" si="3"/>
        <v>Middle Age</v>
      </c>
      <c r="N203" t="s">
        <v>15</v>
      </c>
    </row>
    <row r="204" spans="1:14" x14ac:dyDescent="0.2">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1">
        <v>30000</v>
      </c>
      <c r="E207">
        <v>3</v>
      </c>
      <c r="F207" t="s">
        <v>31</v>
      </c>
      <c r="G207" t="s">
        <v>20</v>
      </c>
      <c r="H207" t="s">
        <v>15</v>
      </c>
      <c r="I207">
        <v>0</v>
      </c>
      <c r="J207" t="s">
        <v>16</v>
      </c>
      <c r="K207" t="s">
        <v>17</v>
      </c>
      <c r="L207">
        <v>46</v>
      </c>
      <c r="M207" t="str">
        <f t="shared" si="3"/>
        <v>Adolescent</v>
      </c>
      <c r="N207" t="s">
        <v>15</v>
      </c>
    </row>
    <row r="208" spans="1:14" x14ac:dyDescent="0.2">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39</v>
      </c>
      <c r="D209" s="1">
        <v>20000</v>
      </c>
      <c r="E209">
        <v>0</v>
      </c>
      <c r="F209" t="s">
        <v>29</v>
      </c>
      <c r="G209" t="s">
        <v>25</v>
      </c>
      <c r="H209" t="s">
        <v>15</v>
      </c>
      <c r="I209">
        <v>2</v>
      </c>
      <c r="J209" t="s">
        <v>26</v>
      </c>
      <c r="K209" t="s">
        <v>17</v>
      </c>
      <c r="L209">
        <v>26</v>
      </c>
      <c r="M209" t="str">
        <f t="shared" si="3"/>
        <v>Middle Age</v>
      </c>
      <c r="N209" t="s">
        <v>15</v>
      </c>
    </row>
    <row r="210" spans="1:14" x14ac:dyDescent="0.2">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1">
        <v>80000</v>
      </c>
      <c r="E212">
        <v>4</v>
      </c>
      <c r="F212" t="s">
        <v>31</v>
      </c>
      <c r="G212" t="s">
        <v>28</v>
      </c>
      <c r="H212" t="s">
        <v>15</v>
      </c>
      <c r="I212">
        <v>1</v>
      </c>
      <c r="J212" t="s">
        <v>16</v>
      </c>
      <c r="K212" t="s">
        <v>24</v>
      </c>
      <c r="L212">
        <v>36</v>
      </c>
      <c r="M212" t="str">
        <f t="shared" si="3"/>
        <v>Adolescent</v>
      </c>
      <c r="N212" t="s">
        <v>18</v>
      </c>
    </row>
    <row r="213" spans="1:14" x14ac:dyDescent="0.2">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1">
        <v>30000</v>
      </c>
      <c r="E214">
        <v>0</v>
      </c>
      <c r="F214" t="s">
        <v>19</v>
      </c>
      <c r="G214" t="s">
        <v>20</v>
      </c>
      <c r="H214" t="s">
        <v>18</v>
      </c>
      <c r="I214">
        <v>1</v>
      </c>
      <c r="J214" t="s">
        <v>22</v>
      </c>
      <c r="K214" t="s">
        <v>17</v>
      </c>
      <c r="L214">
        <v>30</v>
      </c>
      <c r="M214" t="str">
        <f t="shared" si="3"/>
        <v>Middle Age</v>
      </c>
      <c r="N214" t="s">
        <v>18</v>
      </c>
    </row>
    <row r="215" spans="1:14" x14ac:dyDescent="0.2">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1">
        <v>80000</v>
      </c>
      <c r="E217">
        <v>4</v>
      </c>
      <c r="F217" t="s">
        <v>19</v>
      </c>
      <c r="G217" t="s">
        <v>21</v>
      </c>
      <c r="H217" t="s">
        <v>18</v>
      </c>
      <c r="I217">
        <v>2</v>
      </c>
      <c r="J217" t="s">
        <v>22</v>
      </c>
      <c r="K217" t="s">
        <v>17</v>
      </c>
      <c r="L217">
        <v>54</v>
      </c>
      <c r="M217" t="str">
        <f t="shared" si="3"/>
        <v>Adolescent</v>
      </c>
      <c r="N217" t="s">
        <v>15</v>
      </c>
    </row>
    <row r="218" spans="1:14" x14ac:dyDescent="0.2">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1">
        <v>10000</v>
      </c>
      <c r="E221">
        <v>0</v>
      </c>
      <c r="F221" t="s">
        <v>19</v>
      </c>
      <c r="G221" t="s">
        <v>25</v>
      </c>
      <c r="H221" t="s">
        <v>15</v>
      </c>
      <c r="I221">
        <v>1</v>
      </c>
      <c r="J221" t="s">
        <v>26</v>
      </c>
      <c r="K221" t="s">
        <v>24</v>
      </c>
      <c r="L221">
        <v>26</v>
      </c>
      <c r="M221" t="str">
        <f t="shared" si="3"/>
        <v>Middle Age</v>
      </c>
      <c r="N221" t="s">
        <v>15</v>
      </c>
    </row>
    <row r="222" spans="1:14" x14ac:dyDescent="0.2">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39</v>
      </c>
      <c r="D233" s="1">
        <v>40000</v>
      </c>
      <c r="E233">
        <v>0</v>
      </c>
      <c r="F233" t="s">
        <v>13</v>
      </c>
      <c r="G233" t="s">
        <v>20</v>
      </c>
      <c r="H233" t="s">
        <v>15</v>
      </c>
      <c r="I233">
        <v>0</v>
      </c>
      <c r="J233" t="s">
        <v>16</v>
      </c>
      <c r="K233" t="s">
        <v>17</v>
      </c>
      <c r="L233">
        <v>38</v>
      </c>
      <c r="M233" t="str">
        <f t="shared" si="3"/>
        <v>Adolescent</v>
      </c>
      <c r="N233" t="s">
        <v>15</v>
      </c>
    </row>
    <row r="234" spans="1:14" x14ac:dyDescent="0.2">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1">
        <v>20000</v>
      </c>
      <c r="E235">
        <v>0</v>
      </c>
      <c r="F235" t="s">
        <v>13</v>
      </c>
      <c r="G235" t="s">
        <v>20</v>
      </c>
      <c r="H235" t="s">
        <v>15</v>
      </c>
      <c r="I235">
        <v>0</v>
      </c>
      <c r="J235" t="s">
        <v>16</v>
      </c>
      <c r="K235" t="s">
        <v>24</v>
      </c>
      <c r="L235">
        <v>27</v>
      </c>
      <c r="M235" t="str">
        <f t="shared" si="3"/>
        <v>Middle Age</v>
      </c>
      <c r="N235" t="s">
        <v>15</v>
      </c>
    </row>
    <row r="236" spans="1:14" x14ac:dyDescent="0.2">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1">
        <v>10000</v>
      </c>
      <c r="E239">
        <v>0</v>
      </c>
      <c r="F239" t="s">
        <v>19</v>
      </c>
      <c r="G239" t="s">
        <v>25</v>
      </c>
      <c r="H239" t="s">
        <v>18</v>
      </c>
      <c r="I239">
        <v>1</v>
      </c>
      <c r="J239" t="s">
        <v>16</v>
      </c>
      <c r="K239" t="s">
        <v>24</v>
      </c>
      <c r="L239">
        <v>26</v>
      </c>
      <c r="M239" t="str">
        <f t="shared" si="3"/>
        <v>Middle Age</v>
      </c>
      <c r="N239" t="s">
        <v>15</v>
      </c>
    </row>
    <row r="240" spans="1:14" x14ac:dyDescent="0.2">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1">
        <v>30000</v>
      </c>
      <c r="E241">
        <v>0</v>
      </c>
      <c r="F241" t="s">
        <v>27</v>
      </c>
      <c r="G241" t="s">
        <v>25</v>
      </c>
      <c r="H241" t="s">
        <v>18</v>
      </c>
      <c r="I241">
        <v>1</v>
      </c>
      <c r="J241" t="s">
        <v>22</v>
      </c>
      <c r="K241" t="s">
        <v>17</v>
      </c>
      <c r="L241">
        <v>34</v>
      </c>
      <c r="M241" t="str">
        <f t="shared" si="3"/>
        <v>Adolescent</v>
      </c>
      <c r="N241" t="s">
        <v>15</v>
      </c>
    </row>
    <row r="242" spans="1:14" x14ac:dyDescent="0.2">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1">
        <v>20000</v>
      </c>
      <c r="E245">
        <v>0</v>
      </c>
      <c r="F245" t="s">
        <v>27</v>
      </c>
      <c r="G245" t="s">
        <v>25</v>
      </c>
      <c r="H245" t="s">
        <v>18</v>
      </c>
      <c r="I245">
        <v>1</v>
      </c>
      <c r="J245" t="s">
        <v>22</v>
      </c>
      <c r="K245" t="s">
        <v>17</v>
      </c>
      <c r="L245">
        <v>29</v>
      </c>
      <c r="M245" t="str">
        <f t="shared" si="3"/>
        <v>Middle Age</v>
      </c>
      <c r="N245" t="s">
        <v>18</v>
      </c>
    </row>
    <row r="246" spans="1:14" x14ac:dyDescent="0.2">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1">
        <v>50000</v>
      </c>
      <c r="E259">
        <v>0</v>
      </c>
      <c r="F259" t="s">
        <v>31</v>
      </c>
      <c r="G259" t="s">
        <v>14</v>
      </c>
      <c r="H259" t="s">
        <v>15</v>
      </c>
      <c r="I259">
        <v>0</v>
      </c>
      <c r="J259" t="s">
        <v>16</v>
      </c>
      <c r="K259" t="s">
        <v>17</v>
      </c>
      <c r="L259">
        <v>36</v>
      </c>
      <c r="M259" t="str">
        <f t="shared" ref="M259:M322" si="4">IF(L259&gt;54, "Old", IF(L261&gt;=31, "Middle Age", IF(L261&lt;31,"Adolescent","Invalid")))</f>
        <v>Middle Age</v>
      </c>
      <c r="N259" t="s">
        <v>15</v>
      </c>
    </row>
    <row r="260" spans="1:14" x14ac:dyDescent="0.2">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1">
        <v>40000</v>
      </c>
      <c r="E266">
        <v>0</v>
      </c>
      <c r="F266" t="s">
        <v>31</v>
      </c>
      <c r="G266" t="s">
        <v>20</v>
      </c>
      <c r="H266" t="s">
        <v>15</v>
      </c>
      <c r="I266">
        <v>0</v>
      </c>
      <c r="J266" t="s">
        <v>16</v>
      </c>
      <c r="K266" t="s">
        <v>17</v>
      </c>
      <c r="L266">
        <v>37</v>
      </c>
      <c r="M266" t="str">
        <f t="shared" si="4"/>
        <v>Adolescent</v>
      </c>
      <c r="N266" t="s">
        <v>15</v>
      </c>
    </row>
    <row r="267" spans="1:14" x14ac:dyDescent="0.2">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1">
        <v>20000</v>
      </c>
      <c r="E268">
        <v>5</v>
      </c>
      <c r="F268" t="s">
        <v>27</v>
      </c>
      <c r="G268" t="s">
        <v>25</v>
      </c>
      <c r="H268" t="s">
        <v>15</v>
      </c>
      <c r="I268">
        <v>2</v>
      </c>
      <c r="J268" t="s">
        <v>16</v>
      </c>
      <c r="K268" t="s">
        <v>17</v>
      </c>
      <c r="L268">
        <v>27</v>
      </c>
      <c r="M268" t="str">
        <f t="shared" si="4"/>
        <v>Middle Age</v>
      </c>
      <c r="N268" t="s">
        <v>18</v>
      </c>
    </row>
    <row r="269" spans="1:14" x14ac:dyDescent="0.2">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1">
        <v>50000</v>
      </c>
      <c r="E271">
        <v>0</v>
      </c>
      <c r="F271" t="s">
        <v>31</v>
      </c>
      <c r="G271" t="s">
        <v>14</v>
      </c>
      <c r="H271" t="s">
        <v>18</v>
      </c>
      <c r="I271">
        <v>0</v>
      </c>
      <c r="J271" t="s">
        <v>16</v>
      </c>
      <c r="K271" t="s">
        <v>17</v>
      </c>
      <c r="L271">
        <v>37</v>
      </c>
      <c r="M271" t="str">
        <f t="shared" si="4"/>
        <v>Adolescent</v>
      </c>
      <c r="N271" t="s">
        <v>15</v>
      </c>
    </row>
    <row r="272" spans="1:14" x14ac:dyDescent="0.2">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1">
        <v>20000</v>
      </c>
      <c r="E275">
        <v>0</v>
      </c>
      <c r="F275" t="s">
        <v>27</v>
      </c>
      <c r="G275" t="s">
        <v>25</v>
      </c>
      <c r="H275" t="s">
        <v>18</v>
      </c>
      <c r="I275">
        <v>1</v>
      </c>
      <c r="J275" t="s">
        <v>22</v>
      </c>
      <c r="K275" t="s">
        <v>17</v>
      </c>
      <c r="L275">
        <v>30</v>
      </c>
      <c r="M275" t="str">
        <f t="shared" si="4"/>
        <v>Middle Age</v>
      </c>
      <c r="N275" t="s">
        <v>18</v>
      </c>
    </row>
    <row r="276" spans="1:14" x14ac:dyDescent="0.2">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1">
        <v>40000</v>
      </c>
      <c r="E303">
        <v>0</v>
      </c>
      <c r="F303" t="s">
        <v>13</v>
      </c>
      <c r="G303" t="s">
        <v>20</v>
      </c>
      <c r="H303" t="s">
        <v>18</v>
      </c>
      <c r="I303">
        <v>0</v>
      </c>
      <c r="J303" t="s">
        <v>16</v>
      </c>
      <c r="K303" t="s">
        <v>24</v>
      </c>
      <c r="L303">
        <v>28</v>
      </c>
      <c r="M303" t="str">
        <f t="shared" si="4"/>
        <v>Middle Age</v>
      </c>
      <c r="N303" t="s">
        <v>15</v>
      </c>
    </row>
    <row r="304" spans="1:14" x14ac:dyDescent="0.2">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1">
        <v>160000</v>
      </c>
      <c r="E323">
        <v>0</v>
      </c>
      <c r="F323" t="s">
        <v>31</v>
      </c>
      <c r="G323" t="s">
        <v>28</v>
      </c>
      <c r="H323" t="s">
        <v>18</v>
      </c>
      <c r="I323">
        <v>3</v>
      </c>
      <c r="J323" t="s">
        <v>16</v>
      </c>
      <c r="K323" t="s">
        <v>24</v>
      </c>
      <c r="L323">
        <v>47</v>
      </c>
      <c r="M323" t="str">
        <f t="shared" ref="M323:M386" si="5">IF(L323&gt;54, "Old", IF(L325&gt;=31, "Middle Age", IF(L325&lt;31,"Adolescent","Invalid")))</f>
        <v>Middle Age</v>
      </c>
      <c r="N323" t="s">
        <v>15</v>
      </c>
    </row>
    <row r="324" spans="1:14" x14ac:dyDescent="0.2">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1">
        <v>90000</v>
      </c>
      <c r="E326">
        <v>4</v>
      </c>
      <c r="F326" t="s">
        <v>13</v>
      </c>
      <c r="G326" t="s">
        <v>21</v>
      </c>
      <c r="H326" t="s">
        <v>15</v>
      </c>
      <c r="I326">
        <v>0</v>
      </c>
      <c r="J326" t="s">
        <v>26</v>
      </c>
      <c r="K326" t="s">
        <v>24</v>
      </c>
      <c r="L326">
        <v>38</v>
      </c>
      <c r="M326" t="str">
        <f t="shared" si="5"/>
        <v>Adolescent</v>
      </c>
      <c r="N326" t="s">
        <v>15</v>
      </c>
    </row>
    <row r="327" spans="1:14" x14ac:dyDescent="0.2">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1">
        <v>20000</v>
      </c>
      <c r="E328">
        <v>0</v>
      </c>
      <c r="F328" t="s">
        <v>13</v>
      </c>
      <c r="G328" t="s">
        <v>20</v>
      </c>
      <c r="H328" t="s">
        <v>18</v>
      </c>
      <c r="I328">
        <v>0</v>
      </c>
      <c r="J328" t="s">
        <v>16</v>
      </c>
      <c r="K328" t="s">
        <v>24</v>
      </c>
      <c r="L328">
        <v>26</v>
      </c>
      <c r="M328" t="str">
        <f t="shared" si="5"/>
        <v>Middle Age</v>
      </c>
      <c r="N328" t="s">
        <v>15</v>
      </c>
    </row>
    <row r="329" spans="1:14" x14ac:dyDescent="0.2">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1">
        <v>10000</v>
      </c>
      <c r="E333">
        <v>0</v>
      </c>
      <c r="F333" t="s">
        <v>29</v>
      </c>
      <c r="G333" t="s">
        <v>25</v>
      </c>
      <c r="H333" t="s">
        <v>18</v>
      </c>
      <c r="I333">
        <v>2</v>
      </c>
      <c r="J333" t="s">
        <v>16</v>
      </c>
      <c r="K333" t="s">
        <v>17</v>
      </c>
      <c r="L333">
        <v>30</v>
      </c>
      <c r="M333" t="str">
        <f t="shared" si="5"/>
        <v>Middle Age</v>
      </c>
      <c r="N333" t="s">
        <v>18</v>
      </c>
    </row>
    <row r="334" spans="1:14" x14ac:dyDescent="0.2">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1">
        <v>120000</v>
      </c>
      <c r="E340">
        <v>3</v>
      </c>
      <c r="F340" t="s">
        <v>27</v>
      </c>
      <c r="G340" t="s">
        <v>21</v>
      </c>
      <c r="H340" t="s">
        <v>15</v>
      </c>
      <c r="I340">
        <v>4</v>
      </c>
      <c r="J340" t="s">
        <v>23</v>
      </c>
      <c r="K340" t="s">
        <v>17</v>
      </c>
      <c r="L340">
        <v>50</v>
      </c>
      <c r="M340" t="str">
        <f t="shared" si="5"/>
        <v>Adolescent</v>
      </c>
      <c r="N340" t="s">
        <v>15</v>
      </c>
    </row>
    <row r="341" spans="1:14" x14ac:dyDescent="0.2">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1">
        <v>30000</v>
      </c>
      <c r="E342">
        <v>0</v>
      </c>
      <c r="F342" t="s">
        <v>19</v>
      </c>
      <c r="G342" t="s">
        <v>20</v>
      </c>
      <c r="H342" t="s">
        <v>15</v>
      </c>
      <c r="I342">
        <v>1</v>
      </c>
      <c r="J342" t="s">
        <v>22</v>
      </c>
      <c r="K342" t="s">
        <v>17</v>
      </c>
      <c r="L342">
        <v>30</v>
      </c>
      <c r="M342" t="str">
        <f t="shared" si="5"/>
        <v>Middle Age</v>
      </c>
      <c r="N342" t="s">
        <v>18</v>
      </c>
    </row>
    <row r="343" spans="1:14" x14ac:dyDescent="0.2">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1">
        <v>60000</v>
      </c>
      <c r="E349">
        <v>1</v>
      </c>
      <c r="F349" t="s">
        <v>19</v>
      </c>
      <c r="G349" t="s">
        <v>14</v>
      </c>
      <c r="H349" t="s">
        <v>18</v>
      </c>
      <c r="I349">
        <v>1</v>
      </c>
      <c r="J349" t="s">
        <v>16</v>
      </c>
      <c r="K349" t="s">
        <v>24</v>
      </c>
      <c r="L349">
        <v>45</v>
      </c>
      <c r="M349" t="str">
        <f t="shared" si="5"/>
        <v>Adolescent</v>
      </c>
      <c r="N349" t="s">
        <v>15</v>
      </c>
    </row>
    <row r="350" spans="1:14" x14ac:dyDescent="0.2">
      <c r="A350">
        <v>23915</v>
      </c>
      <c r="B350" t="s">
        <v>36</v>
      </c>
      <c r="C350" t="s">
        <v>38</v>
      </c>
      <c r="D350" s="1">
        <v>20000</v>
      </c>
      <c r="E350">
        <v>2</v>
      </c>
      <c r="F350" t="s">
        <v>27</v>
      </c>
      <c r="G350" t="s">
        <v>25</v>
      </c>
      <c r="H350" t="s">
        <v>15</v>
      </c>
      <c r="I350">
        <v>2</v>
      </c>
      <c r="J350" t="s">
        <v>16</v>
      </c>
      <c r="K350" t="s">
        <v>17</v>
      </c>
      <c r="L350">
        <v>42</v>
      </c>
      <c r="M350" t="str">
        <f t="shared" si="5"/>
        <v>Adolescent</v>
      </c>
      <c r="N350" t="s">
        <v>18</v>
      </c>
    </row>
    <row r="351" spans="1:14" x14ac:dyDescent="0.2">
      <c r="A351">
        <v>24121</v>
      </c>
      <c r="B351" t="s">
        <v>37</v>
      </c>
      <c r="C351" t="s">
        <v>39</v>
      </c>
      <c r="D351" s="1">
        <v>30000</v>
      </c>
      <c r="E351">
        <v>0</v>
      </c>
      <c r="F351" t="s">
        <v>19</v>
      </c>
      <c r="G351" t="s">
        <v>20</v>
      </c>
      <c r="H351" t="s">
        <v>18</v>
      </c>
      <c r="I351">
        <v>1</v>
      </c>
      <c r="J351" t="s">
        <v>16</v>
      </c>
      <c r="K351" t="s">
        <v>17</v>
      </c>
      <c r="L351">
        <v>29</v>
      </c>
      <c r="M351" t="str">
        <f t="shared" si="5"/>
        <v>Middle Age</v>
      </c>
      <c r="N351" t="s">
        <v>15</v>
      </c>
    </row>
    <row r="352" spans="1:14" x14ac:dyDescent="0.2">
      <c r="A352">
        <v>27878</v>
      </c>
      <c r="B352" t="s">
        <v>37</v>
      </c>
      <c r="C352" t="s">
        <v>38</v>
      </c>
      <c r="D352" s="1">
        <v>20000</v>
      </c>
      <c r="E352">
        <v>0</v>
      </c>
      <c r="F352" t="s">
        <v>19</v>
      </c>
      <c r="G352" t="s">
        <v>25</v>
      </c>
      <c r="H352" t="s">
        <v>18</v>
      </c>
      <c r="I352">
        <v>0</v>
      </c>
      <c r="J352" t="s">
        <v>16</v>
      </c>
      <c r="K352" t="s">
        <v>24</v>
      </c>
      <c r="L352">
        <v>28</v>
      </c>
      <c r="M352" t="str">
        <f t="shared" si="5"/>
        <v>Middle Age</v>
      </c>
      <c r="N352" t="s">
        <v>15</v>
      </c>
    </row>
    <row r="353" spans="1:14" x14ac:dyDescent="0.2">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1">
        <v>10000</v>
      </c>
      <c r="E359">
        <v>0</v>
      </c>
      <c r="F359" t="s">
        <v>29</v>
      </c>
      <c r="G359" t="s">
        <v>25</v>
      </c>
      <c r="H359" t="s">
        <v>15</v>
      </c>
      <c r="I359">
        <v>2</v>
      </c>
      <c r="J359" t="s">
        <v>26</v>
      </c>
      <c r="K359" t="s">
        <v>17</v>
      </c>
      <c r="L359">
        <v>33</v>
      </c>
      <c r="M359" t="str">
        <f t="shared" si="5"/>
        <v>Adolescent</v>
      </c>
      <c r="N359" t="s">
        <v>18</v>
      </c>
    </row>
    <row r="360" spans="1:14" x14ac:dyDescent="0.2">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1">
        <v>30000</v>
      </c>
      <c r="E363">
        <v>3</v>
      </c>
      <c r="F363" t="s">
        <v>19</v>
      </c>
      <c r="G363" t="s">
        <v>20</v>
      </c>
      <c r="H363" t="s">
        <v>18</v>
      </c>
      <c r="I363">
        <v>2</v>
      </c>
      <c r="J363" t="s">
        <v>16</v>
      </c>
      <c r="K363" t="s">
        <v>17</v>
      </c>
      <c r="L363">
        <v>27</v>
      </c>
      <c r="M363" t="str">
        <f t="shared" si="5"/>
        <v>Middle Age</v>
      </c>
      <c r="N363" t="s">
        <v>15</v>
      </c>
    </row>
    <row r="364" spans="1:14" x14ac:dyDescent="0.2">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38</v>
      </c>
      <c r="D373" s="1">
        <v>80000</v>
      </c>
      <c r="E373">
        <v>5</v>
      </c>
      <c r="F373" t="s">
        <v>31</v>
      </c>
      <c r="G373" t="s">
        <v>28</v>
      </c>
      <c r="H373" t="s">
        <v>15</v>
      </c>
      <c r="I373">
        <v>3</v>
      </c>
      <c r="J373" t="s">
        <v>16</v>
      </c>
      <c r="K373" t="s">
        <v>24</v>
      </c>
      <c r="L373">
        <v>50</v>
      </c>
      <c r="M373" t="str">
        <f t="shared" si="5"/>
        <v>Adolescent</v>
      </c>
      <c r="N373" t="s">
        <v>18</v>
      </c>
    </row>
    <row r="374" spans="1:14" x14ac:dyDescent="0.2">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1">
        <v>20000</v>
      </c>
      <c r="E375">
        <v>0</v>
      </c>
      <c r="F375" t="s">
        <v>27</v>
      </c>
      <c r="G375" t="s">
        <v>25</v>
      </c>
      <c r="H375" t="s">
        <v>18</v>
      </c>
      <c r="I375">
        <v>1</v>
      </c>
      <c r="J375" t="s">
        <v>22</v>
      </c>
      <c r="K375" t="s">
        <v>17</v>
      </c>
      <c r="L375">
        <v>30</v>
      </c>
      <c r="M375" t="str">
        <f t="shared" si="5"/>
        <v>Middle Age</v>
      </c>
      <c r="N375" t="s">
        <v>18</v>
      </c>
    </row>
    <row r="376" spans="1:14" x14ac:dyDescent="0.2">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1">
        <v>70000</v>
      </c>
      <c r="E382">
        <v>0</v>
      </c>
      <c r="F382" t="s">
        <v>13</v>
      </c>
      <c r="G382" t="s">
        <v>21</v>
      </c>
      <c r="H382" t="s">
        <v>18</v>
      </c>
      <c r="I382">
        <v>3</v>
      </c>
      <c r="J382" t="s">
        <v>46</v>
      </c>
      <c r="K382" t="s">
        <v>24</v>
      </c>
      <c r="L382">
        <v>30</v>
      </c>
      <c r="M382" t="str">
        <f t="shared" si="5"/>
        <v>Middle Age</v>
      </c>
      <c r="N382" t="s">
        <v>15</v>
      </c>
    </row>
    <row r="383" spans="1:14" x14ac:dyDescent="0.2">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1">
        <v>80000</v>
      </c>
      <c r="E384">
        <v>4</v>
      </c>
      <c r="F384" t="s">
        <v>19</v>
      </c>
      <c r="G384" t="s">
        <v>21</v>
      </c>
      <c r="H384" t="s">
        <v>15</v>
      </c>
      <c r="I384">
        <v>2</v>
      </c>
      <c r="J384" t="s">
        <v>46</v>
      </c>
      <c r="K384" t="s">
        <v>17</v>
      </c>
      <c r="L384">
        <v>53</v>
      </c>
      <c r="M384" t="str">
        <f t="shared" si="5"/>
        <v>Adolescent</v>
      </c>
      <c r="N384" t="s">
        <v>18</v>
      </c>
    </row>
    <row r="385" spans="1:14" x14ac:dyDescent="0.2">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1">
        <v>10000</v>
      </c>
      <c r="E386">
        <v>0</v>
      </c>
      <c r="F386" t="s">
        <v>19</v>
      </c>
      <c r="G386" t="s">
        <v>25</v>
      </c>
      <c r="H386" t="s">
        <v>18</v>
      </c>
      <c r="I386">
        <v>1</v>
      </c>
      <c r="J386" t="s">
        <v>16</v>
      </c>
      <c r="K386" t="s">
        <v>24</v>
      </c>
      <c r="L386">
        <v>28</v>
      </c>
      <c r="M386" t="str">
        <f t="shared" si="5"/>
        <v>Middle Age</v>
      </c>
      <c r="N386" t="s">
        <v>15</v>
      </c>
    </row>
    <row r="387" spans="1:14" x14ac:dyDescent="0.2">
      <c r="A387">
        <v>18018</v>
      </c>
      <c r="B387" t="s">
        <v>37</v>
      </c>
      <c r="C387" t="s">
        <v>38</v>
      </c>
      <c r="D387" s="1">
        <v>30000</v>
      </c>
      <c r="E387">
        <v>3</v>
      </c>
      <c r="F387" t="s">
        <v>19</v>
      </c>
      <c r="G387" t="s">
        <v>20</v>
      </c>
      <c r="H387" t="s">
        <v>15</v>
      </c>
      <c r="I387">
        <v>0</v>
      </c>
      <c r="J387" t="s">
        <v>16</v>
      </c>
      <c r="K387" t="s">
        <v>17</v>
      </c>
      <c r="L387">
        <v>43</v>
      </c>
      <c r="M387" t="str">
        <f t="shared" ref="M387:M450" si="6">IF(L387&gt;54, "Old", IF(L389&gt;=31, "Middle Age", IF(L389&lt;31,"Adolescent","Invalid")))</f>
        <v>Middle Age</v>
      </c>
      <c r="N387" t="s">
        <v>18</v>
      </c>
    </row>
    <row r="388" spans="1:14" x14ac:dyDescent="0.2">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1">
        <v>10000</v>
      </c>
      <c r="E426">
        <v>3</v>
      </c>
      <c r="F426" t="s">
        <v>29</v>
      </c>
      <c r="G426" t="s">
        <v>25</v>
      </c>
      <c r="H426" t="s">
        <v>15</v>
      </c>
      <c r="I426">
        <v>2</v>
      </c>
      <c r="J426" t="s">
        <v>16</v>
      </c>
      <c r="K426" t="s">
        <v>17</v>
      </c>
      <c r="L426">
        <v>43</v>
      </c>
      <c r="M426" t="str">
        <f t="shared" si="6"/>
        <v>Adolescent</v>
      </c>
      <c r="N426" t="s">
        <v>18</v>
      </c>
    </row>
    <row r="427" spans="1:14" x14ac:dyDescent="0.2">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1">
        <v>30000</v>
      </c>
      <c r="E428">
        <v>0</v>
      </c>
      <c r="F428" t="s">
        <v>19</v>
      </c>
      <c r="G428" t="s">
        <v>20</v>
      </c>
      <c r="H428" t="s">
        <v>18</v>
      </c>
      <c r="I428">
        <v>1</v>
      </c>
      <c r="J428" t="s">
        <v>22</v>
      </c>
      <c r="K428" t="s">
        <v>17</v>
      </c>
      <c r="L428">
        <v>28</v>
      </c>
      <c r="M428" t="str">
        <f t="shared" si="6"/>
        <v>Middle Age</v>
      </c>
      <c r="N428" t="s">
        <v>18</v>
      </c>
    </row>
    <row r="429" spans="1:14" x14ac:dyDescent="0.2">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1">
        <v>30000</v>
      </c>
      <c r="E431">
        <v>0</v>
      </c>
      <c r="F431" t="s">
        <v>19</v>
      </c>
      <c r="G431" t="s">
        <v>20</v>
      </c>
      <c r="H431" t="s">
        <v>15</v>
      </c>
      <c r="I431">
        <v>1</v>
      </c>
      <c r="J431" t="s">
        <v>22</v>
      </c>
      <c r="K431" t="s">
        <v>17</v>
      </c>
      <c r="L431">
        <v>31</v>
      </c>
      <c r="M431" t="str">
        <f t="shared" si="6"/>
        <v>Adolescent</v>
      </c>
      <c r="N431" t="s">
        <v>18</v>
      </c>
    </row>
    <row r="432" spans="1:14" x14ac:dyDescent="0.2">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39</v>
      </c>
      <c r="D435" s="1">
        <v>30000</v>
      </c>
      <c r="E435">
        <v>3</v>
      </c>
      <c r="F435" t="s">
        <v>19</v>
      </c>
      <c r="G435" t="s">
        <v>20</v>
      </c>
      <c r="H435" t="s">
        <v>18</v>
      </c>
      <c r="I435">
        <v>1</v>
      </c>
      <c r="J435" t="s">
        <v>16</v>
      </c>
      <c r="K435" t="s">
        <v>17</v>
      </c>
      <c r="L435">
        <v>26</v>
      </c>
      <c r="M435" t="str">
        <f t="shared" si="6"/>
        <v>Middle Age</v>
      </c>
      <c r="N435" t="s">
        <v>18</v>
      </c>
    </row>
    <row r="436" spans="1:14" x14ac:dyDescent="0.2">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1">
        <v>30000</v>
      </c>
      <c r="E439">
        <v>3</v>
      </c>
      <c r="F439" t="s">
        <v>19</v>
      </c>
      <c r="G439" t="s">
        <v>20</v>
      </c>
      <c r="H439" t="s">
        <v>15</v>
      </c>
      <c r="I439">
        <v>2</v>
      </c>
      <c r="J439" t="s">
        <v>16</v>
      </c>
      <c r="K439" t="s">
        <v>17</v>
      </c>
      <c r="L439">
        <v>28</v>
      </c>
      <c r="M439" t="str">
        <f t="shared" si="6"/>
        <v>Middle Age</v>
      </c>
      <c r="N439" t="s">
        <v>15</v>
      </c>
    </row>
    <row r="440" spans="1:14" x14ac:dyDescent="0.2">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1">
        <v>40000</v>
      </c>
      <c r="E451">
        <v>1</v>
      </c>
      <c r="F451" t="s">
        <v>13</v>
      </c>
      <c r="G451" t="s">
        <v>14</v>
      </c>
      <c r="H451" t="s">
        <v>15</v>
      </c>
      <c r="I451">
        <v>0</v>
      </c>
      <c r="J451" t="s">
        <v>16</v>
      </c>
      <c r="K451" t="s">
        <v>17</v>
      </c>
      <c r="L451">
        <v>42</v>
      </c>
      <c r="M451" t="str">
        <f t="shared" ref="M451:M514" si="7">IF(L451&gt;54, "Old", IF(L453&gt;=31, "Middle Age", IF(L453&lt;31,"Adolescent","Invalid")))</f>
        <v>Middle Age</v>
      </c>
      <c r="N451" t="s">
        <v>18</v>
      </c>
    </row>
    <row r="452" spans="1:14" x14ac:dyDescent="0.2">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1">
        <v>80000</v>
      </c>
      <c r="E470">
        <v>5</v>
      </c>
      <c r="F470" t="s">
        <v>31</v>
      </c>
      <c r="G470" t="s">
        <v>28</v>
      </c>
      <c r="H470" t="s">
        <v>15</v>
      </c>
      <c r="I470">
        <v>3</v>
      </c>
      <c r="J470" t="s">
        <v>16</v>
      </c>
      <c r="K470" t="s">
        <v>24</v>
      </c>
      <c r="L470">
        <v>40</v>
      </c>
      <c r="M470" t="str">
        <f t="shared" si="7"/>
        <v>Adolescent</v>
      </c>
      <c r="N470" t="s">
        <v>18</v>
      </c>
    </row>
    <row r="471" spans="1:14" x14ac:dyDescent="0.2">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1">
        <v>30000</v>
      </c>
      <c r="E472">
        <v>0</v>
      </c>
      <c r="F472" t="s">
        <v>27</v>
      </c>
      <c r="G472" t="s">
        <v>25</v>
      </c>
      <c r="H472" t="s">
        <v>18</v>
      </c>
      <c r="I472">
        <v>1</v>
      </c>
      <c r="J472" t="s">
        <v>26</v>
      </c>
      <c r="K472" t="s">
        <v>17</v>
      </c>
      <c r="L472">
        <v>28</v>
      </c>
      <c r="M472" t="str">
        <f t="shared" si="7"/>
        <v>Middle Age</v>
      </c>
      <c r="N472" t="s">
        <v>18</v>
      </c>
    </row>
    <row r="473" spans="1:14" x14ac:dyDescent="0.2">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1">
        <v>60000</v>
      </c>
      <c r="E502">
        <v>5</v>
      </c>
      <c r="F502" t="s">
        <v>13</v>
      </c>
      <c r="G502" t="s">
        <v>21</v>
      </c>
      <c r="H502" t="s">
        <v>15</v>
      </c>
      <c r="I502">
        <v>1</v>
      </c>
      <c r="J502" t="s">
        <v>22</v>
      </c>
      <c r="K502" t="s">
        <v>32</v>
      </c>
      <c r="L502">
        <v>47</v>
      </c>
      <c r="M502" t="str">
        <f t="shared" si="7"/>
        <v>Adolescent</v>
      </c>
      <c r="N502" t="s">
        <v>18</v>
      </c>
    </row>
    <row r="503" spans="1:14" x14ac:dyDescent="0.2">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1">
        <v>40000</v>
      </c>
      <c r="E504">
        <v>0</v>
      </c>
      <c r="F504" t="s">
        <v>19</v>
      </c>
      <c r="G504" t="s">
        <v>14</v>
      </c>
      <c r="H504" t="s">
        <v>15</v>
      </c>
      <c r="I504">
        <v>1</v>
      </c>
      <c r="J504" t="s">
        <v>23</v>
      </c>
      <c r="K504" t="s">
        <v>32</v>
      </c>
      <c r="L504">
        <v>29</v>
      </c>
      <c r="M504" t="str">
        <f t="shared" si="7"/>
        <v>Middle Age</v>
      </c>
      <c r="N504" t="s">
        <v>18</v>
      </c>
    </row>
    <row r="505" spans="1:14" x14ac:dyDescent="0.2">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1">
        <v>70000</v>
      </c>
      <c r="E508">
        <v>4</v>
      </c>
      <c r="F508" t="s">
        <v>13</v>
      </c>
      <c r="G508" t="s">
        <v>21</v>
      </c>
      <c r="H508" t="s">
        <v>15</v>
      </c>
      <c r="I508">
        <v>2</v>
      </c>
      <c r="J508" t="s">
        <v>22</v>
      </c>
      <c r="K508" t="s">
        <v>32</v>
      </c>
      <c r="L508">
        <v>42</v>
      </c>
      <c r="M508" t="str">
        <f t="shared" si="7"/>
        <v>Adolescent</v>
      </c>
      <c r="N508" t="s">
        <v>15</v>
      </c>
    </row>
    <row r="509" spans="1:14" x14ac:dyDescent="0.2">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1">
        <v>60000</v>
      </c>
      <c r="E510">
        <v>0</v>
      </c>
      <c r="F510" t="s">
        <v>19</v>
      </c>
      <c r="G510" t="s">
        <v>14</v>
      </c>
      <c r="H510" t="s">
        <v>18</v>
      </c>
      <c r="I510">
        <v>2</v>
      </c>
      <c r="J510" t="s">
        <v>26</v>
      </c>
      <c r="K510" t="s">
        <v>32</v>
      </c>
      <c r="L510">
        <v>29</v>
      </c>
      <c r="M510" t="str">
        <f t="shared" si="7"/>
        <v>Middle Age</v>
      </c>
      <c r="N510" t="s">
        <v>18</v>
      </c>
    </row>
    <row r="511" spans="1:14" x14ac:dyDescent="0.2">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1">
        <v>60000</v>
      </c>
      <c r="E515">
        <v>4</v>
      </c>
      <c r="F515" t="s">
        <v>31</v>
      </c>
      <c r="G515" t="s">
        <v>28</v>
      </c>
      <c r="H515" t="s">
        <v>15</v>
      </c>
      <c r="I515">
        <v>2</v>
      </c>
      <c r="J515" t="s">
        <v>46</v>
      </c>
      <c r="K515" t="s">
        <v>32</v>
      </c>
      <c r="L515">
        <v>61</v>
      </c>
      <c r="M515" t="str">
        <f t="shared" ref="M515:M578" si="8">IF(L515&gt;54, "Old", IF(L517&gt;=31, "Middle Age", IF(L517&lt;31,"Adolescent","Invalid")))</f>
        <v>Old</v>
      </c>
      <c r="N515" t="s">
        <v>15</v>
      </c>
    </row>
    <row r="516" spans="1:14" x14ac:dyDescent="0.2">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39</v>
      </c>
      <c r="D528" s="1">
        <v>110000</v>
      </c>
      <c r="E528">
        <v>1</v>
      </c>
      <c r="F528" t="s">
        <v>13</v>
      </c>
      <c r="G528" t="s">
        <v>28</v>
      </c>
      <c r="H528" t="s">
        <v>15</v>
      </c>
      <c r="I528">
        <v>2</v>
      </c>
      <c r="J528" t="s">
        <v>26</v>
      </c>
      <c r="K528" t="s">
        <v>32</v>
      </c>
      <c r="L528">
        <v>44</v>
      </c>
      <c r="M528" t="str">
        <f t="shared" si="8"/>
        <v>Adolescent</v>
      </c>
      <c r="N528" t="s">
        <v>18</v>
      </c>
    </row>
    <row r="529" spans="1:14" x14ac:dyDescent="0.2">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1">
        <v>60000</v>
      </c>
      <c r="E532">
        <v>0</v>
      </c>
      <c r="F532" t="s">
        <v>19</v>
      </c>
      <c r="G532" t="s">
        <v>14</v>
      </c>
      <c r="H532" t="s">
        <v>15</v>
      </c>
      <c r="I532">
        <v>1</v>
      </c>
      <c r="J532" t="s">
        <v>23</v>
      </c>
      <c r="K532" t="s">
        <v>32</v>
      </c>
      <c r="L532">
        <v>27</v>
      </c>
      <c r="M532" t="str">
        <f t="shared" si="8"/>
        <v>Middle Age</v>
      </c>
      <c r="N532" t="s">
        <v>15</v>
      </c>
    </row>
    <row r="533" spans="1:14" x14ac:dyDescent="0.2">
      <c r="A533">
        <v>14092</v>
      </c>
      <c r="B533" t="s">
        <v>37</v>
      </c>
      <c r="C533" t="s">
        <v>38</v>
      </c>
      <c r="D533" s="1">
        <v>30000</v>
      </c>
      <c r="E533">
        <v>0</v>
      </c>
      <c r="F533" t="s">
        <v>29</v>
      </c>
      <c r="G533" t="s">
        <v>20</v>
      </c>
      <c r="H533" t="s">
        <v>15</v>
      </c>
      <c r="I533">
        <v>2</v>
      </c>
      <c r="J533" t="s">
        <v>23</v>
      </c>
      <c r="K533" t="s">
        <v>32</v>
      </c>
      <c r="L533">
        <v>28</v>
      </c>
      <c r="M533" t="str">
        <f t="shared" si="8"/>
        <v>Middle Age</v>
      </c>
      <c r="N533" t="s">
        <v>18</v>
      </c>
    </row>
    <row r="534" spans="1:14" x14ac:dyDescent="0.2">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1">
        <v>70000</v>
      </c>
      <c r="E542">
        <v>3</v>
      </c>
      <c r="F542" t="s">
        <v>31</v>
      </c>
      <c r="G542" t="s">
        <v>28</v>
      </c>
      <c r="H542" t="s">
        <v>15</v>
      </c>
      <c r="I542">
        <v>2</v>
      </c>
      <c r="J542" t="s">
        <v>26</v>
      </c>
      <c r="K542" t="s">
        <v>32</v>
      </c>
      <c r="L542">
        <v>52</v>
      </c>
      <c r="M542" t="str">
        <f t="shared" si="8"/>
        <v>Adolescent</v>
      </c>
      <c r="N542" t="s">
        <v>18</v>
      </c>
    </row>
    <row r="543" spans="1:14" x14ac:dyDescent="0.2">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1">
        <v>40000</v>
      </c>
      <c r="E544">
        <v>0</v>
      </c>
      <c r="F544" t="s">
        <v>27</v>
      </c>
      <c r="G544" t="s">
        <v>14</v>
      </c>
      <c r="H544" t="s">
        <v>15</v>
      </c>
      <c r="I544">
        <v>2</v>
      </c>
      <c r="J544" t="s">
        <v>23</v>
      </c>
      <c r="K544" t="s">
        <v>32</v>
      </c>
      <c r="L544">
        <v>29</v>
      </c>
      <c r="M544" t="str">
        <f t="shared" si="8"/>
        <v>Middle Age</v>
      </c>
      <c r="N544" t="s">
        <v>18</v>
      </c>
    </row>
    <row r="545" spans="1:14" x14ac:dyDescent="0.2">
      <c r="A545">
        <v>25898</v>
      </c>
      <c r="B545" t="s">
        <v>36</v>
      </c>
      <c r="C545" t="s">
        <v>39</v>
      </c>
      <c r="D545" s="1">
        <v>70000</v>
      </c>
      <c r="E545">
        <v>2</v>
      </c>
      <c r="F545" t="s">
        <v>27</v>
      </c>
      <c r="G545" t="s">
        <v>21</v>
      </c>
      <c r="H545" t="s">
        <v>15</v>
      </c>
      <c r="I545">
        <v>2</v>
      </c>
      <c r="J545" t="s">
        <v>22</v>
      </c>
      <c r="K545" t="s">
        <v>32</v>
      </c>
      <c r="L545">
        <v>53</v>
      </c>
      <c r="M545" t="str">
        <f t="shared" si="8"/>
        <v>Adolescent</v>
      </c>
      <c r="N545" t="s">
        <v>18</v>
      </c>
    </row>
    <row r="546" spans="1:14" x14ac:dyDescent="0.2">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1">
        <v>60000</v>
      </c>
      <c r="E547">
        <v>0</v>
      </c>
      <c r="F547" t="s">
        <v>19</v>
      </c>
      <c r="G547" t="s">
        <v>14</v>
      </c>
      <c r="H547" t="s">
        <v>18</v>
      </c>
      <c r="I547">
        <v>2</v>
      </c>
      <c r="J547" t="s">
        <v>26</v>
      </c>
      <c r="K547" t="s">
        <v>32</v>
      </c>
      <c r="L547">
        <v>29</v>
      </c>
      <c r="M547" t="str">
        <f t="shared" si="8"/>
        <v>Middle Age</v>
      </c>
      <c r="N547" t="s">
        <v>18</v>
      </c>
    </row>
    <row r="548" spans="1:14" x14ac:dyDescent="0.2">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1">
        <v>20000</v>
      </c>
      <c r="E563">
        <v>2</v>
      </c>
      <c r="F563" t="s">
        <v>29</v>
      </c>
      <c r="G563" t="s">
        <v>20</v>
      </c>
      <c r="H563" t="s">
        <v>18</v>
      </c>
      <c r="I563">
        <v>0</v>
      </c>
      <c r="J563" t="s">
        <v>16</v>
      </c>
      <c r="K563" t="s">
        <v>32</v>
      </c>
      <c r="L563">
        <v>48</v>
      </c>
      <c r="M563" t="str">
        <f t="shared" si="8"/>
        <v>Adolescent</v>
      </c>
      <c r="N563" t="s">
        <v>18</v>
      </c>
    </row>
    <row r="564" spans="1:14" x14ac:dyDescent="0.2">
      <c r="A564">
        <v>18560</v>
      </c>
      <c r="B564" t="s">
        <v>36</v>
      </c>
      <c r="C564" t="s">
        <v>39</v>
      </c>
      <c r="D564" s="1">
        <v>70000</v>
      </c>
      <c r="E564">
        <v>2</v>
      </c>
      <c r="F564" t="s">
        <v>31</v>
      </c>
      <c r="G564" t="s">
        <v>21</v>
      </c>
      <c r="H564" t="s">
        <v>15</v>
      </c>
      <c r="I564">
        <v>0</v>
      </c>
      <c r="J564" t="s">
        <v>22</v>
      </c>
      <c r="K564" t="s">
        <v>32</v>
      </c>
      <c r="L564">
        <v>34</v>
      </c>
      <c r="M564" t="str">
        <f t="shared" si="8"/>
        <v>Adolescent</v>
      </c>
      <c r="N564" t="s">
        <v>15</v>
      </c>
    </row>
    <row r="565" spans="1:14" x14ac:dyDescent="0.2">
      <c r="A565">
        <v>25006</v>
      </c>
      <c r="B565" t="s">
        <v>37</v>
      </c>
      <c r="C565" t="s">
        <v>39</v>
      </c>
      <c r="D565" s="1">
        <v>30000</v>
      </c>
      <c r="E565">
        <v>0</v>
      </c>
      <c r="F565" t="s">
        <v>19</v>
      </c>
      <c r="G565" t="s">
        <v>14</v>
      </c>
      <c r="H565" t="s">
        <v>15</v>
      </c>
      <c r="I565">
        <v>1</v>
      </c>
      <c r="J565" t="s">
        <v>23</v>
      </c>
      <c r="K565" t="s">
        <v>32</v>
      </c>
      <c r="L565">
        <v>28</v>
      </c>
      <c r="M565" t="str">
        <f t="shared" si="8"/>
        <v>Middle Age</v>
      </c>
      <c r="N565" t="s">
        <v>18</v>
      </c>
    </row>
    <row r="566" spans="1:14" x14ac:dyDescent="0.2">
      <c r="A566">
        <v>17369</v>
      </c>
      <c r="B566" t="s">
        <v>37</v>
      </c>
      <c r="C566" t="s">
        <v>38</v>
      </c>
      <c r="D566" s="1">
        <v>30000</v>
      </c>
      <c r="E566">
        <v>0</v>
      </c>
      <c r="F566" t="s">
        <v>19</v>
      </c>
      <c r="G566" t="s">
        <v>14</v>
      </c>
      <c r="H566" t="s">
        <v>15</v>
      </c>
      <c r="I566">
        <v>1</v>
      </c>
      <c r="J566" t="s">
        <v>23</v>
      </c>
      <c r="K566" t="s">
        <v>32</v>
      </c>
      <c r="L566">
        <v>27</v>
      </c>
      <c r="M566" t="str">
        <f t="shared" si="8"/>
        <v>Middle Age</v>
      </c>
      <c r="N566" t="s">
        <v>18</v>
      </c>
    </row>
    <row r="567" spans="1:14" x14ac:dyDescent="0.2">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1">
        <v>70000</v>
      </c>
      <c r="E572">
        <v>3</v>
      </c>
      <c r="F572" t="s">
        <v>29</v>
      </c>
      <c r="G572" t="s">
        <v>14</v>
      </c>
      <c r="H572" t="s">
        <v>15</v>
      </c>
      <c r="I572">
        <v>2</v>
      </c>
      <c r="J572" t="s">
        <v>23</v>
      </c>
      <c r="K572" t="s">
        <v>32</v>
      </c>
      <c r="L572">
        <v>52</v>
      </c>
      <c r="M572" t="str">
        <f t="shared" si="8"/>
        <v>Adolescent</v>
      </c>
      <c r="N572" t="s">
        <v>18</v>
      </c>
    </row>
    <row r="573" spans="1:14" x14ac:dyDescent="0.2">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1">
        <v>30000</v>
      </c>
      <c r="E574">
        <v>0</v>
      </c>
      <c r="F574" t="s">
        <v>27</v>
      </c>
      <c r="G574" t="s">
        <v>14</v>
      </c>
      <c r="H574" t="s">
        <v>15</v>
      </c>
      <c r="I574">
        <v>2</v>
      </c>
      <c r="J574" t="s">
        <v>23</v>
      </c>
      <c r="K574" t="s">
        <v>32</v>
      </c>
      <c r="L574">
        <v>30</v>
      </c>
      <c r="M574" t="str">
        <f t="shared" si="8"/>
        <v>Middle Age</v>
      </c>
      <c r="N574" t="s">
        <v>18</v>
      </c>
    </row>
    <row r="575" spans="1:14" x14ac:dyDescent="0.2">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1">
        <v>120000</v>
      </c>
      <c r="E579">
        <v>1</v>
      </c>
      <c r="F579" t="s">
        <v>13</v>
      </c>
      <c r="G579" t="s">
        <v>28</v>
      </c>
      <c r="H579" t="s">
        <v>15</v>
      </c>
      <c r="I579">
        <v>4</v>
      </c>
      <c r="J579" t="s">
        <v>16</v>
      </c>
      <c r="K579" t="s">
        <v>32</v>
      </c>
      <c r="L579">
        <v>38</v>
      </c>
      <c r="M579" t="str">
        <f t="shared" ref="M579:M642" si="9">IF(L579&gt;54, "Old", IF(L581&gt;=31, "Middle Age", IF(L581&lt;31,"Adolescent","Invalid")))</f>
        <v>Middle Age</v>
      </c>
      <c r="N579" t="s">
        <v>18</v>
      </c>
    </row>
    <row r="580" spans="1:14" x14ac:dyDescent="0.2">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1">
        <v>40000</v>
      </c>
      <c r="E581">
        <v>3</v>
      </c>
      <c r="F581" t="s">
        <v>19</v>
      </c>
      <c r="G581" t="s">
        <v>20</v>
      </c>
      <c r="H581" t="s">
        <v>18</v>
      </c>
      <c r="I581">
        <v>2</v>
      </c>
      <c r="J581" t="s">
        <v>16</v>
      </c>
      <c r="K581" t="s">
        <v>32</v>
      </c>
      <c r="L581">
        <v>32</v>
      </c>
      <c r="M581" t="str">
        <f t="shared" si="9"/>
        <v>Adolescent</v>
      </c>
      <c r="N581" t="s">
        <v>18</v>
      </c>
    </row>
    <row r="582" spans="1:14" x14ac:dyDescent="0.2">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1">
        <v>40000</v>
      </c>
      <c r="E583">
        <v>0</v>
      </c>
      <c r="F583" t="s">
        <v>19</v>
      </c>
      <c r="G583" t="s">
        <v>14</v>
      </c>
      <c r="H583" t="s">
        <v>15</v>
      </c>
      <c r="I583">
        <v>1</v>
      </c>
      <c r="J583" t="s">
        <v>23</v>
      </c>
      <c r="K583" t="s">
        <v>32</v>
      </c>
      <c r="L583">
        <v>28</v>
      </c>
      <c r="M583" t="str">
        <f t="shared" si="9"/>
        <v>Middle Age</v>
      </c>
      <c r="N583" t="s">
        <v>18</v>
      </c>
    </row>
    <row r="584" spans="1:14" x14ac:dyDescent="0.2">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1">
        <v>60000</v>
      </c>
      <c r="E604">
        <v>2</v>
      </c>
      <c r="F604" t="s">
        <v>29</v>
      </c>
      <c r="G604" t="s">
        <v>14</v>
      </c>
      <c r="H604" t="s">
        <v>15</v>
      </c>
      <c r="I604">
        <v>2</v>
      </c>
      <c r="J604" t="s">
        <v>23</v>
      </c>
      <c r="K604" t="s">
        <v>32</v>
      </c>
      <c r="L604">
        <v>52</v>
      </c>
      <c r="M604" t="str">
        <f t="shared" si="9"/>
        <v>Adolescent</v>
      </c>
      <c r="N604" t="s">
        <v>15</v>
      </c>
    </row>
    <row r="605" spans="1:14" x14ac:dyDescent="0.2">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1">
        <v>40000</v>
      </c>
      <c r="E606">
        <v>0</v>
      </c>
      <c r="F606" t="s">
        <v>27</v>
      </c>
      <c r="G606" t="s">
        <v>14</v>
      </c>
      <c r="H606" t="s">
        <v>15</v>
      </c>
      <c r="I606">
        <v>2</v>
      </c>
      <c r="J606" t="s">
        <v>23</v>
      </c>
      <c r="K606" t="s">
        <v>32</v>
      </c>
      <c r="L606">
        <v>27</v>
      </c>
      <c r="M606" t="str">
        <f t="shared" si="9"/>
        <v>Middle Age</v>
      </c>
      <c r="N606" t="s">
        <v>18</v>
      </c>
    </row>
    <row r="607" spans="1:14" x14ac:dyDescent="0.2">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1">
        <v>60000</v>
      </c>
      <c r="E612">
        <v>1</v>
      </c>
      <c r="F612" t="s">
        <v>19</v>
      </c>
      <c r="G612" t="s">
        <v>14</v>
      </c>
      <c r="H612" t="s">
        <v>15</v>
      </c>
      <c r="I612">
        <v>1</v>
      </c>
      <c r="J612" t="s">
        <v>22</v>
      </c>
      <c r="K612" t="s">
        <v>32</v>
      </c>
      <c r="L612">
        <v>44</v>
      </c>
      <c r="M612" t="str">
        <f t="shared" si="9"/>
        <v>Adolescent</v>
      </c>
      <c r="N612" t="s">
        <v>18</v>
      </c>
    </row>
    <row r="613" spans="1:14" x14ac:dyDescent="0.2">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1">
        <v>30000</v>
      </c>
      <c r="E614">
        <v>0</v>
      </c>
      <c r="F614" t="s">
        <v>29</v>
      </c>
      <c r="G614" t="s">
        <v>20</v>
      </c>
      <c r="H614" t="s">
        <v>15</v>
      </c>
      <c r="I614">
        <v>2</v>
      </c>
      <c r="J614" t="s">
        <v>23</v>
      </c>
      <c r="K614" t="s">
        <v>32</v>
      </c>
      <c r="L614">
        <v>27</v>
      </c>
      <c r="M614" t="str">
        <f t="shared" si="9"/>
        <v>Middle Age</v>
      </c>
      <c r="N614" t="s">
        <v>18</v>
      </c>
    </row>
    <row r="615" spans="1:14" x14ac:dyDescent="0.2">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1">
        <v>40000</v>
      </c>
      <c r="E619">
        <v>4</v>
      </c>
      <c r="F619" t="s">
        <v>27</v>
      </c>
      <c r="G619" t="s">
        <v>14</v>
      </c>
      <c r="H619" t="s">
        <v>15</v>
      </c>
      <c r="I619">
        <v>2</v>
      </c>
      <c r="J619" t="s">
        <v>22</v>
      </c>
      <c r="K619" t="s">
        <v>32</v>
      </c>
      <c r="L619">
        <v>44</v>
      </c>
      <c r="M619" t="str">
        <f t="shared" si="9"/>
        <v>Adolescent</v>
      </c>
      <c r="N619" t="s">
        <v>15</v>
      </c>
    </row>
    <row r="620" spans="1:14" x14ac:dyDescent="0.2">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1">
        <v>40000</v>
      </c>
      <c r="E621">
        <v>0</v>
      </c>
      <c r="F621" t="s">
        <v>27</v>
      </c>
      <c r="G621" t="s">
        <v>14</v>
      </c>
      <c r="H621" t="s">
        <v>15</v>
      </c>
      <c r="I621">
        <v>1</v>
      </c>
      <c r="J621" t="s">
        <v>23</v>
      </c>
      <c r="K621" t="s">
        <v>32</v>
      </c>
      <c r="L621">
        <v>30</v>
      </c>
      <c r="M621" t="str">
        <f t="shared" si="9"/>
        <v>Middle Age</v>
      </c>
      <c r="N621" t="s">
        <v>18</v>
      </c>
    </row>
    <row r="622" spans="1:14" x14ac:dyDescent="0.2">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1">
        <v>60000</v>
      </c>
      <c r="E624">
        <v>5</v>
      </c>
      <c r="F624" t="s">
        <v>13</v>
      </c>
      <c r="G624" t="s">
        <v>21</v>
      </c>
      <c r="H624" t="s">
        <v>15</v>
      </c>
      <c r="I624">
        <v>1</v>
      </c>
      <c r="J624" t="s">
        <v>22</v>
      </c>
      <c r="K624" t="s">
        <v>32</v>
      </c>
      <c r="L624">
        <v>47</v>
      </c>
      <c r="M624" t="str">
        <f t="shared" si="9"/>
        <v>Adolescent</v>
      </c>
      <c r="N624" t="s">
        <v>18</v>
      </c>
    </row>
    <row r="625" spans="1:14" x14ac:dyDescent="0.2">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1">
        <v>60000</v>
      </c>
      <c r="E628">
        <v>0</v>
      </c>
      <c r="F628" t="s">
        <v>19</v>
      </c>
      <c r="G628" t="s">
        <v>14</v>
      </c>
      <c r="H628" t="s">
        <v>15</v>
      </c>
      <c r="I628">
        <v>2</v>
      </c>
      <c r="J628" t="s">
        <v>23</v>
      </c>
      <c r="K628" t="s">
        <v>32</v>
      </c>
      <c r="L628">
        <v>29</v>
      </c>
      <c r="M628" t="str">
        <f t="shared" si="9"/>
        <v>Middle Age</v>
      </c>
      <c r="N628" t="s">
        <v>18</v>
      </c>
    </row>
    <row r="629" spans="1:14" x14ac:dyDescent="0.2">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1">
        <v>80000</v>
      </c>
      <c r="E630">
        <v>3</v>
      </c>
      <c r="F630" t="s">
        <v>19</v>
      </c>
      <c r="G630" t="s">
        <v>21</v>
      </c>
      <c r="H630" t="s">
        <v>18</v>
      </c>
      <c r="I630">
        <v>1</v>
      </c>
      <c r="J630" t="s">
        <v>26</v>
      </c>
      <c r="K630" t="s">
        <v>32</v>
      </c>
      <c r="L630">
        <v>51</v>
      </c>
      <c r="M630" t="str">
        <f t="shared" si="9"/>
        <v>Adolescent</v>
      </c>
      <c r="N630" t="s">
        <v>15</v>
      </c>
    </row>
    <row r="631" spans="1:14" x14ac:dyDescent="0.2">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1">
        <v>40000</v>
      </c>
      <c r="E632">
        <v>0</v>
      </c>
      <c r="F632" t="s">
        <v>27</v>
      </c>
      <c r="G632" t="s">
        <v>14</v>
      </c>
      <c r="H632" t="s">
        <v>18</v>
      </c>
      <c r="I632">
        <v>2</v>
      </c>
      <c r="J632" t="s">
        <v>26</v>
      </c>
      <c r="K632" t="s">
        <v>32</v>
      </c>
      <c r="L632">
        <v>30</v>
      </c>
      <c r="M632" t="str">
        <f t="shared" si="9"/>
        <v>Middle Age</v>
      </c>
      <c r="N632" t="s">
        <v>18</v>
      </c>
    </row>
    <row r="633" spans="1:14" x14ac:dyDescent="0.2">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1">
        <v>30000</v>
      </c>
      <c r="E637">
        <v>2</v>
      </c>
      <c r="F637" t="s">
        <v>27</v>
      </c>
      <c r="G637" t="s">
        <v>14</v>
      </c>
      <c r="H637" t="s">
        <v>18</v>
      </c>
      <c r="I637">
        <v>2</v>
      </c>
      <c r="J637" t="s">
        <v>16</v>
      </c>
      <c r="K637" t="s">
        <v>32</v>
      </c>
      <c r="L637">
        <v>49</v>
      </c>
      <c r="M637" t="str">
        <f t="shared" si="9"/>
        <v>Adolescent</v>
      </c>
      <c r="N637" t="s">
        <v>18</v>
      </c>
    </row>
    <row r="638" spans="1:14" x14ac:dyDescent="0.2">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1">
        <v>40000</v>
      </c>
      <c r="E639">
        <v>0</v>
      </c>
      <c r="F639" t="s">
        <v>27</v>
      </c>
      <c r="G639" t="s">
        <v>14</v>
      </c>
      <c r="H639" t="s">
        <v>18</v>
      </c>
      <c r="I639">
        <v>2</v>
      </c>
      <c r="J639" t="s">
        <v>26</v>
      </c>
      <c r="K639" t="s">
        <v>32</v>
      </c>
      <c r="L639">
        <v>30</v>
      </c>
      <c r="M639" t="str">
        <f t="shared" si="9"/>
        <v>Middle Age</v>
      </c>
      <c r="N639" t="s">
        <v>18</v>
      </c>
    </row>
    <row r="640" spans="1:14" x14ac:dyDescent="0.2">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1">
        <v>50000</v>
      </c>
      <c r="E643">
        <v>4</v>
      </c>
      <c r="F643" t="s">
        <v>13</v>
      </c>
      <c r="G643" t="s">
        <v>28</v>
      </c>
      <c r="H643" t="s">
        <v>15</v>
      </c>
      <c r="I643">
        <v>2</v>
      </c>
      <c r="J643" t="s">
        <v>46</v>
      </c>
      <c r="K643" t="s">
        <v>32</v>
      </c>
      <c r="L643">
        <v>64</v>
      </c>
      <c r="M643" t="str">
        <f t="shared" ref="M643:M706" si="10">IF(L643&gt;54, "Old", IF(L645&gt;=31, "Middle Age", IF(L645&lt;31,"Adolescent","Invalid")))</f>
        <v>Old</v>
      </c>
      <c r="N643" t="s">
        <v>18</v>
      </c>
    </row>
    <row r="644" spans="1:14" x14ac:dyDescent="0.2">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1">
        <v>40000</v>
      </c>
      <c r="E663">
        <v>0</v>
      </c>
      <c r="F663" t="s">
        <v>27</v>
      </c>
      <c r="G663" t="s">
        <v>14</v>
      </c>
      <c r="H663" t="s">
        <v>18</v>
      </c>
      <c r="I663">
        <v>2</v>
      </c>
      <c r="J663" t="s">
        <v>16</v>
      </c>
      <c r="K663" t="s">
        <v>32</v>
      </c>
      <c r="L663">
        <v>28</v>
      </c>
      <c r="M663" t="str">
        <f t="shared" si="10"/>
        <v>Middle Age</v>
      </c>
      <c r="N663" t="s">
        <v>15</v>
      </c>
    </row>
    <row r="664" spans="1:14" x14ac:dyDescent="0.2">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1">
        <v>40000</v>
      </c>
      <c r="E674">
        <v>0</v>
      </c>
      <c r="F674" t="s">
        <v>27</v>
      </c>
      <c r="G674" t="s">
        <v>14</v>
      </c>
      <c r="H674" t="s">
        <v>15</v>
      </c>
      <c r="I674">
        <v>2</v>
      </c>
      <c r="J674" t="s">
        <v>23</v>
      </c>
      <c r="K674" t="s">
        <v>32</v>
      </c>
      <c r="L674">
        <v>30</v>
      </c>
      <c r="M674" t="str">
        <f t="shared" si="10"/>
        <v>Middle Age</v>
      </c>
      <c r="N674" t="s">
        <v>18</v>
      </c>
    </row>
    <row r="675" spans="1:14" x14ac:dyDescent="0.2">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1">
        <v>60000</v>
      </c>
      <c r="E687">
        <v>3</v>
      </c>
      <c r="F687" t="s">
        <v>31</v>
      </c>
      <c r="G687" t="s">
        <v>28</v>
      </c>
      <c r="H687" t="s">
        <v>15</v>
      </c>
      <c r="I687">
        <v>2</v>
      </c>
      <c r="J687" t="s">
        <v>23</v>
      </c>
      <c r="K687" t="s">
        <v>32</v>
      </c>
      <c r="L687">
        <v>53</v>
      </c>
      <c r="M687" t="str">
        <f t="shared" si="10"/>
        <v>Adolescent</v>
      </c>
      <c r="N687" t="s">
        <v>15</v>
      </c>
    </row>
    <row r="688" spans="1:14" x14ac:dyDescent="0.2">
      <c r="A688">
        <v>12774</v>
      </c>
      <c r="B688" t="s">
        <v>36</v>
      </c>
      <c r="C688" t="s">
        <v>39</v>
      </c>
      <c r="D688" s="1">
        <v>40000</v>
      </c>
      <c r="E688">
        <v>1</v>
      </c>
      <c r="F688" t="s">
        <v>19</v>
      </c>
      <c r="G688" t="s">
        <v>20</v>
      </c>
      <c r="H688" t="s">
        <v>15</v>
      </c>
      <c r="I688">
        <v>1</v>
      </c>
      <c r="J688" t="s">
        <v>26</v>
      </c>
      <c r="K688" t="s">
        <v>32</v>
      </c>
      <c r="L688">
        <v>51</v>
      </c>
      <c r="M688" t="str">
        <f t="shared" si="10"/>
        <v>Adolescent</v>
      </c>
      <c r="N688" t="s">
        <v>15</v>
      </c>
    </row>
    <row r="689" spans="1:14" x14ac:dyDescent="0.2">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1">
        <v>60000</v>
      </c>
      <c r="E690">
        <v>0</v>
      </c>
      <c r="F690" t="s">
        <v>13</v>
      </c>
      <c r="G690" t="s">
        <v>14</v>
      </c>
      <c r="H690" t="s">
        <v>18</v>
      </c>
      <c r="I690">
        <v>2</v>
      </c>
      <c r="J690" t="s">
        <v>16</v>
      </c>
      <c r="K690" t="s">
        <v>32</v>
      </c>
      <c r="L690">
        <v>30</v>
      </c>
      <c r="M690" t="str">
        <f t="shared" si="10"/>
        <v>Middle Age</v>
      </c>
      <c r="N690" t="s">
        <v>18</v>
      </c>
    </row>
    <row r="691" spans="1:14" x14ac:dyDescent="0.2">
      <c r="A691">
        <v>16725</v>
      </c>
      <c r="B691" t="s">
        <v>36</v>
      </c>
      <c r="C691" t="s">
        <v>38</v>
      </c>
      <c r="D691" s="1">
        <v>30000</v>
      </c>
      <c r="E691">
        <v>0</v>
      </c>
      <c r="F691" t="s">
        <v>27</v>
      </c>
      <c r="G691" t="s">
        <v>14</v>
      </c>
      <c r="H691" t="s">
        <v>15</v>
      </c>
      <c r="I691">
        <v>2</v>
      </c>
      <c r="J691" t="s">
        <v>23</v>
      </c>
      <c r="K691" t="s">
        <v>32</v>
      </c>
      <c r="L691">
        <v>26</v>
      </c>
      <c r="M691" t="str">
        <f t="shared" si="10"/>
        <v>Middle Age</v>
      </c>
      <c r="N691" t="s">
        <v>18</v>
      </c>
    </row>
    <row r="692" spans="1:14" x14ac:dyDescent="0.2">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1">
        <v>80000</v>
      </c>
      <c r="E696">
        <v>3</v>
      </c>
      <c r="F696" t="s">
        <v>31</v>
      </c>
      <c r="G696" t="s">
        <v>21</v>
      </c>
      <c r="H696" t="s">
        <v>18</v>
      </c>
      <c r="I696">
        <v>0</v>
      </c>
      <c r="J696" t="s">
        <v>16</v>
      </c>
      <c r="K696" t="s">
        <v>32</v>
      </c>
      <c r="L696">
        <v>36</v>
      </c>
      <c r="M696" t="str">
        <f t="shared" si="10"/>
        <v>Adolescent</v>
      </c>
      <c r="N696" t="s">
        <v>15</v>
      </c>
    </row>
    <row r="697" spans="1:14" x14ac:dyDescent="0.2">
      <c r="A697">
        <v>18390</v>
      </c>
      <c r="B697" t="s">
        <v>36</v>
      </c>
      <c r="C697" t="s">
        <v>38</v>
      </c>
      <c r="D697" s="1">
        <v>80000</v>
      </c>
      <c r="E697">
        <v>5</v>
      </c>
      <c r="F697" t="s">
        <v>19</v>
      </c>
      <c r="G697" t="s">
        <v>21</v>
      </c>
      <c r="H697" t="s">
        <v>15</v>
      </c>
      <c r="I697">
        <v>2</v>
      </c>
      <c r="J697" t="s">
        <v>16</v>
      </c>
      <c r="K697" t="s">
        <v>32</v>
      </c>
      <c r="L697">
        <v>44</v>
      </c>
      <c r="M697" t="str">
        <f t="shared" si="10"/>
        <v>Adolescent</v>
      </c>
      <c r="N697" t="s">
        <v>18</v>
      </c>
    </row>
    <row r="698" spans="1:14" x14ac:dyDescent="0.2">
      <c r="A698">
        <v>29112</v>
      </c>
      <c r="B698" t="s">
        <v>37</v>
      </c>
      <c r="C698" t="s">
        <v>38</v>
      </c>
      <c r="D698" s="1">
        <v>60000</v>
      </c>
      <c r="E698">
        <v>0</v>
      </c>
      <c r="F698" t="s">
        <v>19</v>
      </c>
      <c r="G698" t="s">
        <v>21</v>
      </c>
      <c r="H698" t="s">
        <v>18</v>
      </c>
      <c r="I698">
        <v>2</v>
      </c>
      <c r="J698" t="s">
        <v>26</v>
      </c>
      <c r="K698" t="s">
        <v>32</v>
      </c>
      <c r="L698">
        <v>30</v>
      </c>
      <c r="M698" t="str">
        <f t="shared" si="10"/>
        <v>Middle Age</v>
      </c>
      <c r="N698" t="s">
        <v>18</v>
      </c>
    </row>
    <row r="699" spans="1:14" x14ac:dyDescent="0.2">
      <c r="A699">
        <v>14090</v>
      </c>
      <c r="B699" t="s">
        <v>36</v>
      </c>
      <c r="C699" t="s">
        <v>39</v>
      </c>
      <c r="D699" s="1">
        <v>30000</v>
      </c>
      <c r="E699">
        <v>0</v>
      </c>
      <c r="F699" t="s">
        <v>29</v>
      </c>
      <c r="G699" t="s">
        <v>20</v>
      </c>
      <c r="H699" t="s">
        <v>18</v>
      </c>
      <c r="I699">
        <v>2</v>
      </c>
      <c r="J699" t="s">
        <v>16</v>
      </c>
      <c r="K699" t="s">
        <v>32</v>
      </c>
      <c r="L699">
        <v>28</v>
      </c>
      <c r="M699" t="str">
        <f t="shared" si="10"/>
        <v>Middle Age</v>
      </c>
      <c r="N699" t="s">
        <v>18</v>
      </c>
    </row>
    <row r="700" spans="1:14" x14ac:dyDescent="0.2">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1">
        <v>90000</v>
      </c>
      <c r="E701">
        <v>0</v>
      </c>
      <c r="F701" t="s">
        <v>19</v>
      </c>
      <c r="G701" t="s">
        <v>21</v>
      </c>
      <c r="H701" t="s">
        <v>18</v>
      </c>
      <c r="I701">
        <v>2</v>
      </c>
      <c r="J701" t="s">
        <v>16</v>
      </c>
      <c r="K701" t="s">
        <v>32</v>
      </c>
      <c r="L701">
        <v>43</v>
      </c>
      <c r="M701" t="str">
        <f t="shared" si="10"/>
        <v>Adolescent</v>
      </c>
      <c r="N701" t="s">
        <v>15</v>
      </c>
    </row>
    <row r="702" spans="1:14" x14ac:dyDescent="0.2">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1">
        <v>30000</v>
      </c>
      <c r="E703">
        <v>0</v>
      </c>
      <c r="F703" t="s">
        <v>27</v>
      </c>
      <c r="G703" t="s">
        <v>14</v>
      </c>
      <c r="H703" t="s">
        <v>15</v>
      </c>
      <c r="I703">
        <v>2</v>
      </c>
      <c r="J703" t="s">
        <v>23</v>
      </c>
      <c r="K703" t="s">
        <v>32</v>
      </c>
      <c r="L703">
        <v>26</v>
      </c>
      <c r="M703" t="str">
        <f t="shared" si="10"/>
        <v>Middle Age</v>
      </c>
      <c r="N703" t="s">
        <v>18</v>
      </c>
    </row>
    <row r="704" spans="1:14" x14ac:dyDescent="0.2">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1">
        <v>70000</v>
      </c>
      <c r="E707">
        <v>4</v>
      </c>
      <c r="F707" t="s">
        <v>13</v>
      </c>
      <c r="G707" t="s">
        <v>28</v>
      </c>
      <c r="H707" t="s">
        <v>15</v>
      </c>
      <c r="I707">
        <v>1</v>
      </c>
      <c r="J707" t="s">
        <v>46</v>
      </c>
      <c r="K707" t="s">
        <v>32</v>
      </c>
      <c r="L707">
        <v>59</v>
      </c>
      <c r="M707" t="str">
        <f t="shared" ref="M707:M770" si="11">IF(L707&gt;54, "Old", IF(L709&gt;=31, "Middle Age", IF(L709&lt;31,"Adolescent","Invalid")))</f>
        <v>Old</v>
      </c>
      <c r="N707" t="s">
        <v>18</v>
      </c>
    </row>
    <row r="708" spans="1:14" x14ac:dyDescent="0.2">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1">
        <v>40000</v>
      </c>
      <c r="E716">
        <v>0</v>
      </c>
      <c r="F716" t="s">
        <v>27</v>
      </c>
      <c r="G716" t="s">
        <v>14</v>
      </c>
      <c r="H716" t="s">
        <v>15</v>
      </c>
      <c r="I716">
        <v>2</v>
      </c>
      <c r="J716" t="s">
        <v>23</v>
      </c>
      <c r="K716" t="s">
        <v>32</v>
      </c>
      <c r="L716">
        <v>28</v>
      </c>
      <c r="M716" t="str">
        <f t="shared" si="11"/>
        <v>Middle Age</v>
      </c>
      <c r="N716" t="s">
        <v>15</v>
      </c>
    </row>
    <row r="717" spans="1:14" x14ac:dyDescent="0.2">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1">
        <v>20000</v>
      </c>
      <c r="E728">
        <v>2</v>
      </c>
      <c r="F728" t="s">
        <v>27</v>
      </c>
      <c r="G728" t="s">
        <v>25</v>
      </c>
      <c r="H728" t="s">
        <v>18</v>
      </c>
      <c r="I728">
        <v>2</v>
      </c>
      <c r="J728" t="s">
        <v>16</v>
      </c>
      <c r="K728" t="s">
        <v>32</v>
      </c>
      <c r="L728">
        <v>53</v>
      </c>
      <c r="M728" t="str">
        <f t="shared" si="11"/>
        <v>Adolescent</v>
      </c>
      <c r="N728" t="s">
        <v>18</v>
      </c>
    </row>
    <row r="729" spans="1:14" x14ac:dyDescent="0.2">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1">
        <v>40000</v>
      </c>
      <c r="E730">
        <v>0</v>
      </c>
      <c r="F730" t="s">
        <v>27</v>
      </c>
      <c r="G730" t="s">
        <v>14</v>
      </c>
      <c r="H730" t="s">
        <v>15</v>
      </c>
      <c r="I730">
        <v>2</v>
      </c>
      <c r="J730" t="s">
        <v>23</v>
      </c>
      <c r="K730" t="s">
        <v>32</v>
      </c>
      <c r="L730">
        <v>27</v>
      </c>
      <c r="M730" t="str">
        <f t="shared" si="11"/>
        <v>Middle Age</v>
      </c>
      <c r="N730" t="s">
        <v>18</v>
      </c>
    </row>
    <row r="731" spans="1:14" x14ac:dyDescent="0.2">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1">
        <v>130000</v>
      </c>
      <c r="E735">
        <v>1</v>
      </c>
      <c r="F735" t="s">
        <v>13</v>
      </c>
      <c r="G735" t="s">
        <v>28</v>
      </c>
      <c r="H735" t="s">
        <v>18</v>
      </c>
      <c r="I735">
        <v>4</v>
      </c>
      <c r="J735" t="s">
        <v>16</v>
      </c>
      <c r="K735" t="s">
        <v>32</v>
      </c>
      <c r="L735">
        <v>44</v>
      </c>
      <c r="M735" t="str">
        <f t="shared" si="11"/>
        <v>Adolescent</v>
      </c>
      <c r="N735" t="s">
        <v>18</v>
      </c>
    </row>
    <row r="736" spans="1:14" x14ac:dyDescent="0.2">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1">
        <v>30000</v>
      </c>
      <c r="E737">
        <v>0</v>
      </c>
      <c r="F737" t="s">
        <v>19</v>
      </c>
      <c r="G737" t="s">
        <v>14</v>
      </c>
      <c r="H737" t="s">
        <v>15</v>
      </c>
      <c r="I737">
        <v>1</v>
      </c>
      <c r="J737" t="s">
        <v>23</v>
      </c>
      <c r="K737" t="s">
        <v>32</v>
      </c>
      <c r="L737">
        <v>26</v>
      </c>
      <c r="M737" t="str">
        <f t="shared" si="11"/>
        <v>Middle Age</v>
      </c>
      <c r="N737" t="s">
        <v>18</v>
      </c>
    </row>
    <row r="738" spans="1:14" x14ac:dyDescent="0.2">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1">
        <v>40000</v>
      </c>
      <c r="E740">
        <v>2</v>
      </c>
      <c r="F740" t="s">
        <v>19</v>
      </c>
      <c r="G740" t="s">
        <v>20</v>
      </c>
      <c r="H740" t="s">
        <v>18</v>
      </c>
      <c r="I740">
        <v>1</v>
      </c>
      <c r="J740" t="s">
        <v>26</v>
      </c>
      <c r="K740" t="s">
        <v>32</v>
      </c>
      <c r="L740">
        <v>47</v>
      </c>
      <c r="M740" t="str">
        <f t="shared" si="11"/>
        <v>Adolescent</v>
      </c>
      <c r="N740" t="s">
        <v>15</v>
      </c>
    </row>
    <row r="741" spans="1:14" x14ac:dyDescent="0.2">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1">
        <v>30000</v>
      </c>
      <c r="E744">
        <v>0</v>
      </c>
      <c r="F744" t="s">
        <v>27</v>
      </c>
      <c r="G744" t="s">
        <v>14</v>
      </c>
      <c r="H744" t="s">
        <v>15</v>
      </c>
      <c r="I744">
        <v>2</v>
      </c>
      <c r="J744" t="s">
        <v>23</v>
      </c>
      <c r="K744" t="s">
        <v>32</v>
      </c>
      <c r="L744">
        <v>30</v>
      </c>
      <c r="M744" t="str">
        <f t="shared" si="11"/>
        <v>Middle Age</v>
      </c>
      <c r="N744" t="s">
        <v>18</v>
      </c>
    </row>
    <row r="745" spans="1:14" x14ac:dyDescent="0.2">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1">
        <v>60000</v>
      </c>
      <c r="E753">
        <v>1</v>
      </c>
      <c r="F753" t="s">
        <v>31</v>
      </c>
      <c r="G753" t="s">
        <v>21</v>
      </c>
      <c r="H753" t="s">
        <v>15</v>
      </c>
      <c r="I753">
        <v>0</v>
      </c>
      <c r="J753" t="s">
        <v>22</v>
      </c>
      <c r="K753" t="s">
        <v>32</v>
      </c>
      <c r="L753">
        <v>36</v>
      </c>
      <c r="M753" t="str">
        <f t="shared" si="11"/>
        <v>Adolescent</v>
      </c>
      <c r="N753" t="s">
        <v>18</v>
      </c>
    </row>
    <row r="754" spans="1:14" x14ac:dyDescent="0.2">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1">
        <v>40000</v>
      </c>
      <c r="E755">
        <v>0</v>
      </c>
      <c r="F755" t="s">
        <v>19</v>
      </c>
      <c r="G755" t="s">
        <v>14</v>
      </c>
      <c r="H755" t="s">
        <v>18</v>
      </c>
      <c r="I755">
        <v>1</v>
      </c>
      <c r="J755" t="s">
        <v>26</v>
      </c>
      <c r="K755" t="s">
        <v>32</v>
      </c>
      <c r="L755">
        <v>27</v>
      </c>
      <c r="M755" t="str">
        <f t="shared" si="11"/>
        <v>Middle Age</v>
      </c>
      <c r="N755" t="s">
        <v>18</v>
      </c>
    </row>
    <row r="756" spans="1:14" x14ac:dyDescent="0.2">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38</v>
      </c>
      <c r="D764" s="1">
        <v>50000</v>
      </c>
      <c r="E764">
        <v>2</v>
      </c>
      <c r="F764" t="s">
        <v>13</v>
      </c>
      <c r="G764" t="s">
        <v>14</v>
      </c>
      <c r="H764" t="s">
        <v>15</v>
      </c>
      <c r="I764">
        <v>0</v>
      </c>
      <c r="J764" t="s">
        <v>22</v>
      </c>
      <c r="K764" t="s">
        <v>32</v>
      </c>
      <c r="L764">
        <v>37</v>
      </c>
      <c r="M764" t="str">
        <f t="shared" si="11"/>
        <v>Adolescent</v>
      </c>
      <c r="N764" t="s">
        <v>15</v>
      </c>
    </row>
    <row r="765" spans="1:14" x14ac:dyDescent="0.2">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1">
        <v>60000</v>
      </c>
      <c r="E766">
        <v>0</v>
      </c>
      <c r="F766" t="s">
        <v>19</v>
      </c>
      <c r="G766" t="s">
        <v>14</v>
      </c>
      <c r="H766" t="s">
        <v>18</v>
      </c>
      <c r="I766">
        <v>1</v>
      </c>
      <c r="J766" t="s">
        <v>26</v>
      </c>
      <c r="K766" t="s">
        <v>32</v>
      </c>
      <c r="L766">
        <v>27</v>
      </c>
      <c r="M766" t="str">
        <f t="shared" si="11"/>
        <v>Middle Age</v>
      </c>
      <c r="N766" t="s">
        <v>18</v>
      </c>
    </row>
    <row r="767" spans="1:14" x14ac:dyDescent="0.2">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1">
        <v>100000</v>
      </c>
      <c r="E771">
        <v>4</v>
      </c>
      <c r="F771" t="s">
        <v>13</v>
      </c>
      <c r="G771" t="s">
        <v>28</v>
      </c>
      <c r="H771" t="s">
        <v>15</v>
      </c>
      <c r="I771">
        <v>4</v>
      </c>
      <c r="J771" t="s">
        <v>16</v>
      </c>
      <c r="K771" t="s">
        <v>32</v>
      </c>
      <c r="L771">
        <v>40</v>
      </c>
      <c r="M771" t="str">
        <f t="shared" ref="M771:M834" si="12">IF(L771&gt;54, "Old", IF(L773&gt;=31, "Middle Age", IF(L773&lt;31,"Adolescent","Invalid")))</f>
        <v>Middle Age</v>
      </c>
      <c r="N771" t="s">
        <v>18</v>
      </c>
    </row>
    <row r="772" spans="1:14" x14ac:dyDescent="0.2">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1">
        <v>70000</v>
      </c>
      <c r="E777">
        <v>2</v>
      </c>
      <c r="F777" t="s">
        <v>29</v>
      </c>
      <c r="G777" t="s">
        <v>14</v>
      </c>
      <c r="H777" t="s">
        <v>15</v>
      </c>
      <c r="I777">
        <v>2</v>
      </c>
      <c r="J777" t="s">
        <v>46</v>
      </c>
      <c r="K777" t="s">
        <v>32</v>
      </c>
      <c r="L777">
        <v>54</v>
      </c>
      <c r="M777" t="str">
        <f t="shared" si="12"/>
        <v>Adolescent</v>
      </c>
      <c r="N777" t="s">
        <v>18</v>
      </c>
    </row>
    <row r="778" spans="1:14" x14ac:dyDescent="0.2">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1">
        <v>40000</v>
      </c>
      <c r="E779">
        <v>0</v>
      </c>
      <c r="F779" t="s">
        <v>27</v>
      </c>
      <c r="G779" t="s">
        <v>14</v>
      </c>
      <c r="H779" t="s">
        <v>15</v>
      </c>
      <c r="I779">
        <v>2</v>
      </c>
      <c r="J779" t="s">
        <v>23</v>
      </c>
      <c r="K779" t="s">
        <v>32</v>
      </c>
      <c r="L779">
        <v>27</v>
      </c>
      <c r="M779" t="str">
        <f t="shared" si="12"/>
        <v>Middle Age</v>
      </c>
      <c r="N779" t="s">
        <v>18</v>
      </c>
    </row>
    <row r="780" spans="1:14" x14ac:dyDescent="0.2">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1">
        <v>60000</v>
      </c>
      <c r="E785">
        <v>4</v>
      </c>
      <c r="F785" t="s">
        <v>13</v>
      </c>
      <c r="G785" t="s">
        <v>14</v>
      </c>
      <c r="H785" t="s">
        <v>15</v>
      </c>
      <c r="I785">
        <v>3</v>
      </c>
      <c r="J785" t="s">
        <v>23</v>
      </c>
      <c r="K785" t="s">
        <v>32</v>
      </c>
      <c r="L785">
        <v>42</v>
      </c>
      <c r="M785" t="str">
        <f t="shared" si="12"/>
        <v>Adolescent</v>
      </c>
      <c r="N785" t="s">
        <v>18</v>
      </c>
    </row>
    <row r="786" spans="1:14" x14ac:dyDescent="0.2">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1">
        <v>40000</v>
      </c>
      <c r="E787">
        <v>0</v>
      </c>
      <c r="F787" t="s">
        <v>27</v>
      </c>
      <c r="G787" t="s">
        <v>14</v>
      </c>
      <c r="H787" t="s">
        <v>18</v>
      </c>
      <c r="I787">
        <v>2</v>
      </c>
      <c r="J787" t="s">
        <v>16</v>
      </c>
      <c r="K787" t="s">
        <v>32</v>
      </c>
      <c r="L787">
        <v>28</v>
      </c>
      <c r="M787" t="str">
        <f t="shared" si="12"/>
        <v>Middle Age</v>
      </c>
      <c r="N787" t="s">
        <v>15</v>
      </c>
    </row>
    <row r="788" spans="1:14" x14ac:dyDescent="0.2">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1">
        <v>60000</v>
      </c>
      <c r="E791">
        <v>2</v>
      </c>
      <c r="F791" t="s">
        <v>27</v>
      </c>
      <c r="G791" t="s">
        <v>21</v>
      </c>
      <c r="H791" t="s">
        <v>18</v>
      </c>
      <c r="I791">
        <v>2</v>
      </c>
      <c r="J791" t="s">
        <v>26</v>
      </c>
      <c r="K791" t="s">
        <v>32</v>
      </c>
      <c r="L791">
        <v>48</v>
      </c>
      <c r="M791" t="str">
        <f t="shared" si="12"/>
        <v>Adolescent</v>
      </c>
      <c r="N791" t="s">
        <v>15</v>
      </c>
    </row>
    <row r="792" spans="1:14" x14ac:dyDescent="0.2">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1">
        <v>40000</v>
      </c>
      <c r="E793">
        <v>0</v>
      </c>
      <c r="F793" t="s">
        <v>27</v>
      </c>
      <c r="G793" t="s">
        <v>14</v>
      </c>
      <c r="H793" t="s">
        <v>15</v>
      </c>
      <c r="I793">
        <v>2</v>
      </c>
      <c r="J793" t="s">
        <v>23</v>
      </c>
      <c r="K793" t="s">
        <v>32</v>
      </c>
      <c r="L793">
        <v>28</v>
      </c>
      <c r="M793" t="str">
        <f t="shared" si="12"/>
        <v>Middle Age</v>
      </c>
      <c r="N793" t="s">
        <v>15</v>
      </c>
    </row>
    <row r="794" spans="1:14" x14ac:dyDescent="0.2">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1">
        <v>60000</v>
      </c>
      <c r="E797">
        <v>2</v>
      </c>
      <c r="F797" t="s">
        <v>27</v>
      </c>
      <c r="G797" t="s">
        <v>21</v>
      </c>
      <c r="H797" t="s">
        <v>15</v>
      </c>
      <c r="I797">
        <v>2</v>
      </c>
      <c r="J797" t="s">
        <v>23</v>
      </c>
      <c r="K797" t="s">
        <v>32</v>
      </c>
      <c r="L797">
        <v>51</v>
      </c>
      <c r="M797" t="str">
        <f t="shared" si="12"/>
        <v>Adolescent</v>
      </c>
      <c r="N797" t="s">
        <v>18</v>
      </c>
    </row>
    <row r="798" spans="1:14" x14ac:dyDescent="0.2">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1">
        <v>60000</v>
      </c>
      <c r="E799">
        <v>0</v>
      </c>
      <c r="F799" t="s">
        <v>19</v>
      </c>
      <c r="G799" t="s">
        <v>14</v>
      </c>
      <c r="H799" t="s">
        <v>15</v>
      </c>
      <c r="I799">
        <v>1</v>
      </c>
      <c r="J799" t="s">
        <v>23</v>
      </c>
      <c r="K799" t="s">
        <v>32</v>
      </c>
      <c r="L799">
        <v>27</v>
      </c>
      <c r="M799" t="str">
        <f t="shared" si="12"/>
        <v>Middle Age</v>
      </c>
      <c r="N799" t="s">
        <v>15</v>
      </c>
    </row>
    <row r="800" spans="1:14" x14ac:dyDescent="0.2">
      <c r="A800">
        <v>22971</v>
      </c>
      <c r="B800" t="s">
        <v>37</v>
      </c>
      <c r="C800" t="s">
        <v>39</v>
      </c>
      <c r="D800" s="1">
        <v>30000</v>
      </c>
      <c r="E800">
        <v>0</v>
      </c>
      <c r="F800" t="s">
        <v>27</v>
      </c>
      <c r="G800" t="s">
        <v>14</v>
      </c>
      <c r="H800" t="s">
        <v>18</v>
      </c>
      <c r="I800">
        <v>2</v>
      </c>
      <c r="J800" t="s">
        <v>16</v>
      </c>
      <c r="K800" t="s">
        <v>32</v>
      </c>
      <c r="L800">
        <v>25</v>
      </c>
      <c r="M800" t="str">
        <f t="shared" si="12"/>
        <v>Middle Age</v>
      </c>
      <c r="N800" t="s">
        <v>15</v>
      </c>
    </row>
    <row r="801" spans="1:14" x14ac:dyDescent="0.2">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1">
        <v>60000</v>
      </c>
      <c r="E802">
        <v>4</v>
      </c>
      <c r="F802" t="s">
        <v>13</v>
      </c>
      <c r="G802" t="s">
        <v>21</v>
      </c>
      <c r="H802" t="s">
        <v>15</v>
      </c>
      <c r="I802">
        <v>2</v>
      </c>
      <c r="J802" t="s">
        <v>22</v>
      </c>
      <c r="K802" t="s">
        <v>32</v>
      </c>
      <c r="L802">
        <v>43</v>
      </c>
      <c r="M802" t="str">
        <f t="shared" si="12"/>
        <v>Adolescent</v>
      </c>
      <c r="N802" t="s">
        <v>15</v>
      </c>
    </row>
    <row r="803" spans="1:14" x14ac:dyDescent="0.2">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1">
        <v>40000</v>
      </c>
      <c r="E805">
        <v>0</v>
      </c>
      <c r="F805" t="s">
        <v>27</v>
      </c>
      <c r="G805" t="s">
        <v>14</v>
      </c>
      <c r="H805" t="s">
        <v>15</v>
      </c>
      <c r="I805">
        <v>2</v>
      </c>
      <c r="J805" t="s">
        <v>23</v>
      </c>
      <c r="K805" t="s">
        <v>32</v>
      </c>
      <c r="L805">
        <v>28</v>
      </c>
      <c r="M805" t="str">
        <f t="shared" si="12"/>
        <v>Middle Age</v>
      </c>
      <c r="N805" t="s">
        <v>15</v>
      </c>
    </row>
    <row r="806" spans="1:14" x14ac:dyDescent="0.2">
      <c r="A806">
        <v>13154</v>
      </c>
      <c r="B806" t="s">
        <v>36</v>
      </c>
      <c r="C806" t="s">
        <v>38</v>
      </c>
      <c r="D806" s="1">
        <v>40000</v>
      </c>
      <c r="E806">
        <v>0</v>
      </c>
      <c r="F806" t="s">
        <v>27</v>
      </c>
      <c r="G806" t="s">
        <v>14</v>
      </c>
      <c r="H806" t="s">
        <v>18</v>
      </c>
      <c r="I806">
        <v>2</v>
      </c>
      <c r="J806" t="s">
        <v>16</v>
      </c>
      <c r="K806" t="s">
        <v>32</v>
      </c>
      <c r="L806">
        <v>27</v>
      </c>
      <c r="M806" t="str">
        <f t="shared" si="12"/>
        <v>Middle Age</v>
      </c>
      <c r="N806" t="s">
        <v>15</v>
      </c>
    </row>
    <row r="807" spans="1:14" x14ac:dyDescent="0.2">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39</v>
      </c>
      <c r="D815" s="1">
        <v>70000</v>
      </c>
      <c r="E815">
        <v>2</v>
      </c>
      <c r="F815" t="s">
        <v>27</v>
      </c>
      <c r="G815" t="s">
        <v>21</v>
      </c>
      <c r="H815" t="s">
        <v>15</v>
      </c>
      <c r="I815">
        <v>2</v>
      </c>
      <c r="J815" t="s">
        <v>46</v>
      </c>
      <c r="K815" t="s">
        <v>32</v>
      </c>
      <c r="L815">
        <v>53</v>
      </c>
      <c r="M815" t="str">
        <f t="shared" si="12"/>
        <v>Adolescent</v>
      </c>
      <c r="N815" t="s">
        <v>18</v>
      </c>
    </row>
    <row r="816" spans="1:14" x14ac:dyDescent="0.2">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1">
        <v>40000</v>
      </c>
      <c r="E817">
        <v>0</v>
      </c>
      <c r="F817" t="s">
        <v>19</v>
      </c>
      <c r="G817" t="s">
        <v>14</v>
      </c>
      <c r="H817" t="s">
        <v>18</v>
      </c>
      <c r="I817">
        <v>2</v>
      </c>
      <c r="J817" t="s">
        <v>26</v>
      </c>
      <c r="K817" t="s">
        <v>32</v>
      </c>
      <c r="L817">
        <v>30</v>
      </c>
      <c r="M817" t="str">
        <f t="shared" si="12"/>
        <v>Middle Age</v>
      </c>
      <c r="N817" t="s">
        <v>18</v>
      </c>
    </row>
    <row r="818" spans="1:14" x14ac:dyDescent="0.2">
      <c r="A818">
        <v>21660</v>
      </c>
      <c r="B818" t="s">
        <v>36</v>
      </c>
      <c r="C818" t="s">
        <v>39</v>
      </c>
      <c r="D818" s="1">
        <v>60000</v>
      </c>
      <c r="E818">
        <v>3</v>
      </c>
      <c r="F818" t="s">
        <v>31</v>
      </c>
      <c r="G818" t="s">
        <v>21</v>
      </c>
      <c r="H818" t="s">
        <v>15</v>
      </c>
      <c r="I818">
        <v>0</v>
      </c>
      <c r="J818" t="s">
        <v>22</v>
      </c>
      <c r="K818" t="s">
        <v>32</v>
      </c>
      <c r="L818">
        <v>43</v>
      </c>
      <c r="M818" t="str">
        <f t="shared" si="12"/>
        <v>Adolescent</v>
      </c>
      <c r="N818" t="s">
        <v>15</v>
      </c>
    </row>
    <row r="819" spans="1:14" x14ac:dyDescent="0.2">
      <c r="A819">
        <v>17012</v>
      </c>
      <c r="B819" t="s">
        <v>36</v>
      </c>
      <c r="C819" t="s">
        <v>39</v>
      </c>
      <c r="D819" s="1">
        <v>60000</v>
      </c>
      <c r="E819">
        <v>3</v>
      </c>
      <c r="F819" t="s">
        <v>31</v>
      </c>
      <c r="G819" t="s">
        <v>21</v>
      </c>
      <c r="H819" t="s">
        <v>15</v>
      </c>
      <c r="I819">
        <v>0</v>
      </c>
      <c r="J819" t="s">
        <v>22</v>
      </c>
      <c r="K819" t="s">
        <v>32</v>
      </c>
      <c r="L819">
        <v>42</v>
      </c>
      <c r="M819" t="str">
        <f t="shared" si="12"/>
        <v>Adolescent</v>
      </c>
      <c r="N819" t="s">
        <v>15</v>
      </c>
    </row>
    <row r="820" spans="1:14" x14ac:dyDescent="0.2">
      <c r="A820">
        <v>24514</v>
      </c>
      <c r="B820" t="s">
        <v>36</v>
      </c>
      <c r="C820" t="s">
        <v>38</v>
      </c>
      <c r="D820" s="1">
        <v>40000</v>
      </c>
      <c r="E820">
        <v>0</v>
      </c>
      <c r="F820" t="s">
        <v>19</v>
      </c>
      <c r="G820" t="s">
        <v>14</v>
      </c>
      <c r="H820" t="s">
        <v>15</v>
      </c>
      <c r="I820">
        <v>1</v>
      </c>
      <c r="J820" t="s">
        <v>23</v>
      </c>
      <c r="K820" t="s">
        <v>32</v>
      </c>
      <c r="L820">
        <v>30</v>
      </c>
      <c r="M820" t="str">
        <f t="shared" si="12"/>
        <v>Middle Age</v>
      </c>
      <c r="N820" t="s">
        <v>18</v>
      </c>
    </row>
    <row r="821" spans="1:14" x14ac:dyDescent="0.2">
      <c r="A821">
        <v>27505</v>
      </c>
      <c r="B821" t="s">
        <v>37</v>
      </c>
      <c r="C821" t="s">
        <v>39</v>
      </c>
      <c r="D821" s="1">
        <v>40000</v>
      </c>
      <c r="E821">
        <v>0</v>
      </c>
      <c r="F821" t="s">
        <v>27</v>
      </c>
      <c r="G821" t="s">
        <v>14</v>
      </c>
      <c r="H821" t="s">
        <v>15</v>
      </c>
      <c r="I821">
        <v>2</v>
      </c>
      <c r="J821" t="s">
        <v>23</v>
      </c>
      <c r="K821" t="s">
        <v>32</v>
      </c>
      <c r="L821">
        <v>30</v>
      </c>
      <c r="M821" t="str">
        <f t="shared" si="12"/>
        <v>Middle Age</v>
      </c>
      <c r="N821" t="s">
        <v>18</v>
      </c>
    </row>
    <row r="822" spans="1:14" x14ac:dyDescent="0.2">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1">
        <v>70000</v>
      </c>
      <c r="E828">
        <v>4</v>
      </c>
      <c r="F828" t="s">
        <v>31</v>
      </c>
      <c r="G828" t="s">
        <v>21</v>
      </c>
      <c r="H828" t="s">
        <v>15</v>
      </c>
      <c r="I828">
        <v>0</v>
      </c>
      <c r="J828" t="s">
        <v>22</v>
      </c>
      <c r="K828" t="s">
        <v>32</v>
      </c>
      <c r="L828">
        <v>36</v>
      </c>
      <c r="M828" t="str">
        <f t="shared" si="12"/>
        <v>Adolescent</v>
      </c>
      <c r="N828" t="s">
        <v>15</v>
      </c>
    </row>
    <row r="829" spans="1:14" x14ac:dyDescent="0.2">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1">
        <v>40000</v>
      </c>
      <c r="E830">
        <v>0</v>
      </c>
      <c r="F830" t="s">
        <v>29</v>
      </c>
      <c r="G830" t="s">
        <v>20</v>
      </c>
      <c r="H830" t="s">
        <v>15</v>
      </c>
      <c r="I830">
        <v>2</v>
      </c>
      <c r="J830" t="s">
        <v>23</v>
      </c>
      <c r="K830" t="s">
        <v>32</v>
      </c>
      <c r="L830">
        <v>26</v>
      </c>
      <c r="M830" t="str">
        <f t="shared" si="12"/>
        <v>Middle Age</v>
      </c>
      <c r="N830" t="s">
        <v>18</v>
      </c>
    </row>
    <row r="831" spans="1:14" x14ac:dyDescent="0.2">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1">
        <v>70000</v>
      </c>
      <c r="E835">
        <v>0</v>
      </c>
      <c r="F835" t="s">
        <v>13</v>
      </c>
      <c r="G835" t="s">
        <v>21</v>
      </c>
      <c r="H835" t="s">
        <v>18</v>
      </c>
      <c r="I835">
        <v>1</v>
      </c>
      <c r="J835" t="s">
        <v>16</v>
      </c>
      <c r="K835" t="s">
        <v>32</v>
      </c>
      <c r="L835">
        <v>37</v>
      </c>
      <c r="M835" t="str">
        <f t="shared" ref="M835:M898" si="13">IF(L835&gt;54, "Old", IF(L837&gt;=31, "Middle Age", IF(L837&lt;31,"Adolescent","Invalid")))</f>
        <v>Middle Age</v>
      </c>
      <c r="N835" t="s">
        <v>15</v>
      </c>
    </row>
    <row r="836" spans="1:14" x14ac:dyDescent="0.2">
      <c r="A836">
        <v>19889</v>
      </c>
      <c r="B836" t="s">
        <v>37</v>
      </c>
      <c r="C836" t="s">
        <v>39</v>
      </c>
      <c r="D836" s="1">
        <v>70000</v>
      </c>
      <c r="E836">
        <v>2</v>
      </c>
      <c r="F836" t="s">
        <v>29</v>
      </c>
      <c r="G836" t="s">
        <v>14</v>
      </c>
      <c r="H836" t="s">
        <v>18</v>
      </c>
      <c r="I836">
        <v>2</v>
      </c>
      <c r="J836" t="s">
        <v>22</v>
      </c>
      <c r="K836" t="s">
        <v>32</v>
      </c>
      <c r="L836">
        <v>54</v>
      </c>
      <c r="M836" t="str">
        <f t="shared" si="13"/>
        <v>Adolescent</v>
      </c>
      <c r="N836" t="s">
        <v>15</v>
      </c>
    </row>
    <row r="837" spans="1:14" x14ac:dyDescent="0.2">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1">
        <v>40000</v>
      </c>
      <c r="E838">
        <v>0</v>
      </c>
      <c r="F838" t="s">
        <v>19</v>
      </c>
      <c r="G838" t="s">
        <v>14</v>
      </c>
      <c r="H838" t="s">
        <v>15</v>
      </c>
      <c r="I838">
        <v>2</v>
      </c>
      <c r="J838" t="s">
        <v>23</v>
      </c>
      <c r="K838" t="s">
        <v>32</v>
      </c>
      <c r="L838">
        <v>28</v>
      </c>
      <c r="M838" t="str">
        <f t="shared" si="13"/>
        <v>Middle Age</v>
      </c>
      <c r="N838" t="s">
        <v>18</v>
      </c>
    </row>
    <row r="839" spans="1:14" x14ac:dyDescent="0.2">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39</v>
      </c>
      <c r="D847" s="1">
        <v>20000</v>
      </c>
      <c r="E847">
        <v>3</v>
      </c>
      <c r="F847" t="s">
        <v>29</v>
      </c>
      <c r="G847" t="s">
        <v>20</v>
      </c>
      <c r="H847" t="s">
        <v>15</v>
      </c>
      <c r="I847">
        <v>2</v>
      </c>
      <c r="J847" t="s">
        <v>26</v>
      </c>
      <c r="K847" t="s">
        <v>32</v>
      </c>
      <c r="L847">
        <v>50</v>
      </c>
      <c r="M847" t="str">
        <f t="shared" si="13"/>
        <v>Adolescent</v>
      </c>
      <c r="N847" t="s">
        <v>18</v>
      </c>
    </row>
    <row r="848" spans="1:14" x14ac:dyDescent="0.2">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1">
        <v>40000</v>
      </c>
      <c r="E849">
        <v>0</v>
      </c>
      <c r="F849" t="s">
        <v>29</v>
      </c>
      <c r="G849" t="s">
        <v>20</v>
      </c>
      <c r="H849" t="s">
        <v>15</v>
      </c>
      <c r="I849">
        <v>2</v>
      </c>
      <c r="J849" t="s">
        <v>23</v>
      </c>
      <c r="K849" t="s">
        <v>32</v>
      </c>
      <c r="L849">
        <v>29</v>
      </c>
      <c r="M849" t="str">
        <f t="shared" si="13"/>
        <v>Middle Age</v>
      </c>
      <c r="N849" t="s">
        <v>18</v>
      </c>
    </row>
    <row r="850" spans="1:14" x14ac:dyDescent="0.2">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1">
        <v>60000</v>
      </c>
      <c r="E856">
        <v>0</v>
      </c>
      <c r="F856" t="s">
        <v>19</v>
      </c>
      <c r="G856" t="s">
        <v>21</v>
      </c>
      <c r="H856" t="s">
        <v>15</v>
      </c>
      <c r="I856">
        <v>2</v>
      </c>
      <c r="J856" t="s">
        <v>23</v>
      </c>
      <c r="K856" t="s">
        <v>32</v>
      </c>
      <c r="L856">
        <v>32</v>
      </c>
      <c r="M856" t="str">
        <f t="shared" si="13"/>
        <v>Adolescent</v>
      </c>
      <c r="N856" t="s">
        <v>18</v>
      </c>
    </row>
    <row r="857" spans="1:14" x14ac:dyDescent="0.2">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1">
        <v>40000</v>
      </c>
      <c r="E858">
        <v>0</v>
      </c>
      <c r="F858" t="s">
        <v>19</v>
      </c>
      <c r="G858" t="s">
        <v>14</v>
      </c>
      <c r="H858" t="s">
        <v>15</v>
      </c>
      <c r="I858">
        <v>1</v>
      </c>
      <c r="J858" t="s">
        <v>23</v>
      </c>
      <c r="K858" t="s">
        <v>32</v>
      </c>
      <c r="L858">
        <v>27</v>
      </c>
      <c r="M858" t="str">
        <f t="shared" si="13"/>
        <v>Middle Age</v>
      </c>
      <c r="N858" t="s">
        <v>18</v>
      </c>
    </row>
    <row r="859" spans="1:14" x14ac:dyDescent="0.2">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1">
        <v>30000</v>
      </c>
      <c r="E876">
        <v>1</v>
      </c>
      <c r="F876" t="s">
        <v>13</v>
      </c>
      <c r="G876" t="s">
        <v>14</v>
      </c>
      <c r="H876" t="s">
        <v>15</v>
      </c>
      <c r="I876">
        <v>1</v>
      </c>
      <c r="J876" t="s">
        <v>23</v>
      </c>
      <c r="K876" t="s">
        <v>32</v>
      </c>
      <c r="L876">
        <v>53</v>
      </c>
      <c r="M876" t="str">
        <f t="shared" si="13"/>
        <v>Adolescent</v>
      </c>
      <c r="N876" t="s">
        <v>15</v>
      </c>
    </row>
    <row r="877" spans="1:14" x14ac:dyDescent="0.2">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1">
        <v>30000</v>
      </c>
      <c r="E878">
        <v>0</v>
      </c>
      <c r="F878" t="s">
        <v>29</v>
      </c>
      <c r="G878" t="s">
        <v>20</v>
      </c>
      <c r="H878" t="s">
        <v>18</v>
      </c>
      <c r="I878">
        <v>2</v>
      </c>
      <c r="J878" t="s">
        <v>16</v>
      </c>
      <c r="K878" t="s">
        <v>32</v>
      </c>
      <c r="L878">
        <v>26</v>
      </c>
      <c r="M878" t="str">
        <f t="shared" si="13"/>
        <v>Middle Age</v>
      </c>
      <c r="N878" t="s">
        <v>18</v>
      </c>
    </row>
    <row r="879" spans="1:14" x14ac:dyDescent="0.2">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1">
        <v>30000</v>
      </c>
      <c r="E899">
        <v>0</v>
      </c>
      <c r="F899" t="s">
        <v>29</v>
      </c>
      <c r="G899" t="s">
        <v>20</v>
      </c>
      <c r="H899" t="s">
        <v>18</v>
      </c>
      <c r="I899">
        <v>2</v>
      </c>
      <c r="J899" t="s">
        <v>16</v>
      </c>
      <c r="K899" t="s">
        <v>32</v>
      </c>
      <c r="L899">
        <v>28</v>
      </c>
      <c r="M899" t="str">
        <f t="shared" ref="M899:M962" si="14">IF(L899&gt;54, "Old", IF(L901&gt;=31, "Middle Age", IF(L901&lt;31,"Adolescent","Invalid")))</f>
        <v>Middle Age</v>
      </c>
      <c r="N899" t="s">
        <v>18</v>
      </c>
    </row>
    <row r="900" spans="1:14" x14ac:dyDescent="0.2">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1">
        <v>70000</v>
      </c>
      <c r="E932">
        <v>5</v>
      </c>
      <c r="F932" t="s">
        <v>31</v>
      </c>
      <c r="G932" t="s">
        <v>21</v>
      </c>
      <c r="H932" t="s">
        <v>18</v>
      </c>
      <c r="I932">
        <v>3</v>
      </c>
      <c r="J932" t="s">
        <v>46</v>
      </c>
      <c r="K932" t="s">
        <v>32</v>
      </c>
      <c r="L932">
        <v>47</v>
      </c>
      <c r="M932" t="str">
        <f t="shared" si="14"/>
        <v>Adolescent</v>
      </c>
      <c r="N932" t="s">
        <v>18</v>
      </c>
    </row>
    <row r="933" spans="1:14" x14ac:dyDescent="0.2">
      <c r="A933">
        <v>14914</v>
      </c>
      <c r="B933" t="s">
        <v>36</v>
      </c>
      <c r="C933" t="s">
        <v>39</v>
      </c>
      <c r="D933" s="1">
        <v>40000</v>
      </c>
      <c r="E933">
        <v>1</v>
      </c>
      <c r="F933" t="s">
        <v>19</v>
      </c>
      <c r="G933" t="s">
        <v>20</v>
      </c>
      <c r="H933" t="s">
        <v>15</v>
      </c>
      <c r="I933">
        <v>1</v>
      </c>
      <c r="J933" t="s">
        <v>26</v>
      </c>
      <c r="K933" t="s">
        <v>32</v>
      </c>
      <c r="L933">
        <v>49</v>
      </c>
      <c r="M933" t="str">
        <f t="shared" si="14"/>
        <v>Adolescent</v>
      </c>
      <c r="N933" t="s">
        <v>15</v>
      </c>
    </row>
    <row r="934" spans="1:14" x14ac:dyDescent="0.2">
      <c r="A934">
        <v>12033</v>
      </c>
      <c r="B934" t="s">
        <v>37</v>
      </c>
      <c r="C934" t="s">
        <v>39</v>
      </c>
      <c r="D934" s="1">
        <v>40000</v>
      </c>
      <c r="E934">
        <v>0</v>
      </c>
      <c r="F934" t="s">
        <v>27</v>
      </c>
      <c r="G934" t="s">
        <v>14</v>
      </c>
      <c r="H934" t="s">
        <v>18</v>
      </c>
      <c r="I934">
        <v>2</v>
      </c>
      <c r="J934" t="s">
        <v>16</v>
      </c>
      <c r="K934" t="s">
        <v>32</v>
      </c>
      <c r="L934">
        <v>27</v>
      </c>
      <c r="M934" t="str">
        <f t="shared" si="14"/>
        <v>Middle Age</v>
      </c>
      <c r="N934" t="s">
        <v>15</v>
      </c>
    </row>
    <row r="935" spans="1:14" x14ac:dyDescent="0.2">
      <c r="A935">
        <v>11941</v>
      </c>
      <c r="B935" t="s">
        <v>37</v>
      </c>
      <c r="C935" t="s">
        <v>38</v>
      </c>
      <c r="D935" s="1">
        <v>60000</v>
      </c>
      <c r="E935">
        <v>0</v>
      </c>
      <c r="F935" t="s">
        <v>19</v>
      </c>
      <c r="G935" t="s">
        <v>14</v>
      </c>
      <c r="H935" t="s">
        <v>15</v>
      </c>
      <c r="I935">
        <v>0</v>
      </c>
      <c r="J935" t="s">
        <v>23</v>
      </c>
      <c r="K935" t="s">
        <v>32</v>
      </c>
      <c r="L935">
        <v>29</v>
      </c>
      <c r="M935" t="str">
        <f t="shared" si="14"/>
        <v>Middle Age</v>
      </c>
      <c r="N935" t="s">
        <v>18</v>
      </c>
    </row>
    <row r="936" spans="1:14" x14ac:dyDescent="0.2">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1">
        <v>40000</v>
      </c>
      <c r="E940">
        <v>0</v>
      </c>
      <c r="F940" t="s">
        <v>27</v>
      </c>
      <c r="G940" t="s">
        <v>14</v>
      </c>
      <c r="H940" t="s">
        <v>15</v>
      </c>
      <c r="I940">
        <v>2</v>
      </c>
      <c r="J940" t="s">
        <v>23</v>
      </c>
      <c r="K940" t="s">
        <v>32</v>
      </c>
      <c r="L940">
        <v>27</v>
      </c>
      <c r="M940" t="str">
        <f t="shared" si="14"/>
        <v>Middle Age</v>
      </c>
      <c r="N940" t="s">
        <v>18</v>
      </c>
    </row>
    <row r="941" spans="1:14" x14ac:dyDescent="0.2">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1">
        <v>70000</v>
      </c>
      <c r="E953">
        <v>0</v>
      </c>
      <c r="F953" t="s">
        <v>13</v>
      </c>
      <c r="G953" t="s">
        <v>21</v>
      </c>
      <c r="H953" t="s">
        <v>18</v>
      </c>
      <c r="I953">
        <v>1</v>
      </c>
      <c r="J953" t="s">
        <v>16</v>
      </c>
      <c r="K953" t="s">
        <v>32</v>
      </c>
      <c r="L953">
        <v>38</v>
      </c>
      <c r="M953" t="str">
        <f t="shared" si="14"/>
        <v>Adolescent</v>
      </c>
      <c r="N953" t="s">
        <v>18</v>
      </c>
    </row>
    <row r="954" spans="1:14" x14ac:dyDescent="0.2">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1">
        <v>40000</v>
      </c>
      <c r="E955">
        <v>3</v>
      </c>
      <c r="F955" t="s">
        <v>19</v>
      </c>
      <c r="G955" t="s">
        <v>20</v>
      </c>
      <c r="H955" t="s">
        <v>15</v>
      </c>
      <c r="I955">
        <v>1</v>
      </c>
      <c r="J955" t="s">
        <v>26</v>
      </c>
      <c r="K955" t="s">
        <v>32</v>
      </c>
      <c r="L955">
        <v>30</v>
      </c>
      <c r="M955" t="str">
        <f t="shared" si="14"/>
        <v>Middle Age</v>
      </c>
      <c r="N955" t="s">
        <v>15</v>
      </c>
    </row>
    <row r="956" spans="1:14" x14ac:dyDescent="0.2">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1">
        <v>40000</v>
      </c>
      <c r="E957">
        <v>4</v>
      </c>
      <c r="F957" t="s">
        <v>27</v>
      </c>
      <c r="G957" t="s">
        <v>14</v>
      </c>
      <c r="H957" t="s">
        <v>15</v>
      </c>
      <c r="I957">
        <v>2</v>
      </c>
      <c r="J957" t="s">
        <v>22</v>
      </c>
      <c r="K957" t="s">
        <v>32</v>
      </c>
      <c r="L957">
        <v>43</v>
      </c>
      <c r="M957" t="str">
        <f t="shared" si="14"/>
        <v>Adolescent</v>
      </c>
      <c r="N957" t="s">
        <v>18</v>
      </c>
    </row>
    <row r="958" spans="1:14" x14ac:dyDescent="0.2">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1">
        <v>60000</v>
      </c>
      <c r="E959">
        <v>0</v>
      </c>
      <c r="F959" t="s">
        <v>19</v>
      </c>
      <c r="G959" t="s">
        <v>21</v>
      </c>
      <c r="H959" t="s">
        <v>15</v>
      </c>
      <c r="I959">
        <v>2</v>
      </c>
      <c r="J959" t="s">
        <v>23</v>
      </c>
      <c r="K959" t="s">
        <v>32</v>
      </c>
      <c r="L959">
        <v>30</v>
      </c>
      <c r="M959" t="str">
        <f t="shared" si="14"/>
        <v>Middle Age</v>
      </c>
      <c r="N959" t="s">
        <v>18</v>
      </c>
    </row>
    <row r="960" spans="1:14" x14ac:dyDescent="0.2">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1">
        <v>120000</v>
      </c>
      <c r="E963">
        <v>2</v>
      </c>
      <c r="F963" t="s">
        <v>13</v>
      </c>
      <c r="G963" t="s">
        <v>28</v>
      </c>
      <c r="H963" t="s">
        <v>15</v>
      </c>
      <c r="I963">
        <v>3</v>
      </c>
      <c r="J963" t="s">
        <v>23</v>
      </c>
      <c r="K963" t="s">
        <v>32</v>
      </c>
      <c r="L963">
        <v>62</v>
      </c>
      <c r="M963" t="str">
        <f t="shared" ref="M963:M1001" si="15">IF(L963&gt;54, "Old", IF(L965&gt;=31, "Middle Age", IF(L965&lt;31,"Adolescent","Invalid")))</f>
        <v>Old</v>
      </c>
      <c r="N963" t="s">
        <v>18</v>
      </c>
    </row>
    <row r="964" spans="1:14" x14ac:dyDescent="0.2">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1">
        <v>50000</v>
      </c>
      <c r="E968">
        <v>0</v>
      </c>
      <c r="F968" t="s">
        <v>31</v>
      </c>
      <c r="G968" t="s">
        <v>14</v>
      </c>
      <c r="H968" t="s">
        <v>15</v>
      </c>
      <c r="I968">
        <v>0</v>
      </c>
      <c r="J968" t="s">
        <v>26</v>
      </c>
      <c r="K968" t="s">
        <v>32</v>
      </c>
      <c r="L968">
        <v>33</v>
      </c>
      <c r="M968" t="str">
        <f t="shared" si="15"/>
        <v>Adolescent</v>
      </c>
      <c r="N968" t="s">
        <v>15</v>
      </c>
    </row>
    <row r="969" spans="1:14" x14ac:dyDescent="0.2">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1">
        <v>30000</v>
      </c>
      <c r="E970">
        <v>0</v>
      </c>
      <c r="F970" t="s">
        <v>29</v>
      </c>
      <c r="G970" t="s">
        <v>20</v>
      </c>
      <c r="H970" t="s">
        <v>18</v>
      </c>
      <c r="I970">
        <v>2</v>
      </c>
      <c r="J970" t="s">
        <v>23</v>
      </c>
      <c r="K970" t="s">
        <v>32</v>
      </c>
      <c r="L970">
        <v>27</v>
      </c>
      <c r="M970" t="str">
        <f t="shared" si="15"/>
        <v>Middle Age</v>
      </c>
      <c r="N970" t="s">
        <v>18</v>
      </c>
    </row>
    <row r="971" spans="1:14" x14ac:dyDescent="0.2">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39</v>
      </c>
      <c r="D992" s="1">
        <v>30000</v>
      </c>
      <c r="E992">
        <v>0</v>
      </c>
      <c r="F992" t="s">
        <v>27</v>
      </c>
      <c r="G992" t="s">
        <v>14</v>
      </c>
      <c r="H992" t="s">
        <v>18</v>
      </c>
      <c r="I992">
        <v>2</v>
      </c>
      <c r="J992" t="s">
        <v>23</v>
      </c>
      <c r="K992" t="s">
        <v>32</v>
      </c>
      <c r="L992">
        <v>26</v>
      </c>
      <c r="M992" t="str">
        <f t="shared" si="15"/>
        <v>Middle Age</v>
      </c>
      <c r="N992" t="s">
        <v>18</v>
      </c>
    </row>
    <row r="993" spans="1:14" x14ac:dyDescent="0.2">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1">
        <v>100000</v>
      </c>
      <c r="E1000">
        <v>3</v>
      </c>
      <c r="F1000" t="s">
        <v>13</v>
      </c>
      <c r="G1000" t="s">
        <v>28</v>
      </c>
      <c r="H1000" t="s">
        <v>18</v>
      </c>
      <c r="I1000">
        <v>3</v>
      </c>
      <c r="J1000" t="s">
        <v>26</v>
      </c>
      <c r="K1000" t="s">
        <v>32</v>
      </c>
      <c r="L1000">
        <v>38</v>
      </c>
      <c r="M1000" t="str">
        <f t="shared" si="15"/>
        <v>Adolescent</v>
      </c>
      <c r="N1000" t="s">
        <v>18</v>
      </c>
    </row>
    <row r="1001" spans="1:14" x14ac:dyDescent="0.2">
      <c r="A1001">
        <v>12121</v>
      </c>
      <c r="B1001" t="s">
        <v>37</v>
      </c>
      <c r="C1001" t="s">
        <v>38</v>
      </c>
      <c r="D1001" s="1">
        <v>60000</v>
      </c>
      <c r="E1001">
        <v>3</v>
      </c>
      <c r="F1001" t="s">
        <v>27</v>
      </c>
      <c r="G1001" t="s">
        <v>21</v>
      </c>
      <c r="H1001" t="s">
        <v>15</v>
      </c>
      <c r="I1001">
        <v>2</v>
      </c>
      <c r="J1001" t="s">
        <v>46</v>
      </c>
      <c r="K1001" t="s">
        <v>32</v>
      </c>
      <c r="L1001">
        <v>53</v>
      </c>
      <c r="M1001" t="str">
        <f t="shared" si="15"/>
        <v>Adolescent</v>
      </c>
      <c r="N1001" t="s">
        <v>15</v>
      </c>
    </row>
  </sheetData>
  <autoFilter ref="A1:N1001" xr:uid="{1A89EEE9-8DCB-9942-A4D7-F50F6046AF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2022-10-06T18:58:30Z</dcterms:modified>
</cp:coreProperties>
</file>